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ashboard" sheetId="2" state="visible" r:id="rId4"/>
    <sheet name="Data_Dictionary" sheetId="3" state="visible" r:id="rId5"/>
    <sheet name="Intent_Map" sheetId="4" state="visible" r:id="rId6"/>
    <sheet name="SQL_Reference" sheetId="5" state="visible" r:id="rId7"/>
    <sheet name="lost_found" sheetId="6" state="visible" r:id="rId8"/>
    <sheet name="events" sheetId="7" state="visible" r:id="rId9"/>
    <sheet name="listings" sheetId="8" state="visible" r:id="rId10"/>
    <sheet name="machines" sheetId="9" state="visible" r:id="rId11"/>
    <sheet name="bookings" sheetId="10" state="visible" r:id="rId12"/>
    <sheet name="students" sheetId="11" state="visible" r:id="rId13"/>
    <sheet name="outbox" sheetId="12" state="visible" r:id="rId14"/>
    <sheet name="Lists" sheetId="13" state="visible" r:id="rId15"/>
    <sheet name="Match_Check" sheetId="14" state="visible" r:id="rId16"/>
    <sheet name="Change_Log" sheetId="15" state="visible" r:id="rId17"/>
  </sheets>
  <definedNames>
    <definedName function="false" hidden="true" localSheetId="9" name="_xlnm._FilterDatabase" vbProcedure="false">bookings!$A$1:$F$1000</definedName>
    <definedName function="false" hidden="true" localSheetId="2" name="_xlnm._FilterDatabase" vbProcedure="false">Data_Dictionary!$A$4:$J$49</definedName>
    <definedName function="false" hidden="true" localSheetId="6" name="_xlnm._FilterDatabase" vbProcedure="false">events!$A$1:$I$1000</definedName>
    <definedName function="false" hidden="true" localSheetId="7" name="_xlnm._FilterDatabase" vbProcedure="false">listings!$A$1:$H$1000</definedName>
    <definedName function="false" hidden="true" localSheetId="5" name="_xlnm._FilterDatabase" vbProcedure="false">lost_found!$A$1:$J$1000</definedName>
    <definedName function="false" hidden="true" localSheetId="8" name="_xlnm._FilterDatabase" vbProcedure="false">machines!$A$1:$D$1000</definedName>
    <definedName function="false" hidden="true" localSheetId="11" name="_xlnm._FilterDatabase" vbProcedure="false">outbox!$A$1:$E$1000</definedName>
    <definedName function="false" hidden="true" localSheetId="10" name="_xlnm._FilterDatabase" vbProcedure="false">students!$A$1:$C$1000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<sst xmlns="http://schemas.openxmlformats.org/spreadsheetml/2006/main" count="1242" uniqueCount="712">
  <si>
    <t xml:space="preserve">Vernier · campus database</t>
  </si>
  <si>
    <t xml:space="preserve">Precision for campus life. Design reference and working mock of backend/vernier.db</t>
  </si>
  <si>
    <t xml:space="preserve">This workbook documents every table the Vernier backend stores, with realistic sample rows, validation that mirrors main.py, and a live dashboard. The real database is the SQLite file vernier.db on Arushi's laptop; this workbook does not sync with it. Treat it as the shared blueprint: when db.py changes, update it here.</t>
  </si>
  <si>
    <t xml:space="preserve">SHEETS</t>
  </si>
  <si>
    <t xml:space="preserve">Sheet</t>
  </si>
  <si>
    <t xml:space="preserve">What it holds</t>
  </si>
  <si>
    <t xml:space="preserve">Rows now</t>
  </si>
  <si>
    <t xml:space="preserve">Filled by</t>
  </si>
  <si>
    <t xml:space="preserve">Dashboard</t>
  </si>
  <si>
    <t xml:space="preserve">Live counts and charts across all tables</t>
  </si>
  <si>
    <t xml:space="preserve">n/a</t>
  </si>
  <si>
    <t xml:space="preserve">formulas</t>
  </si>
  <si>
    <t xml:space="preserve">Data_Dictionary</t>
  </si>
  <si>
    <t xml:space="preserve">Every column: type, allowed values, who writes and reads it</t>
  </si>
  <si>
    <t xml:space="preserve">reference</t>
  </si>
  <si>
    <t xml:space="preserve">Intent_Map</t>
  </si>
  <si>
    <t xml:space="preserve">What each message type and endpoint does to the tables</t>
  </si>
  <si>
    <t xml:space="preserve">SQL_Reference</t>
  </si>
  <si>
    <t xml:space="preserve">CREATE TABLE statements, the backend's queries, handy checks</t>
  </si>
  <si>
    <t xml:space="preserve">lost_found</t>
  </si>
  <si>
    <t xml:space="preserve">Lost reports and found items, from chat and the shelf camera</t>
  </si>
  <si>
    <t xml:space="preserve">main.py, camera</t>
  </si>
  <si>
    <t xml:space="preserve">events</t>
  </si>
  <si>
    <t xml:space="preserve">Events, auditions, recruitments with category and major flag</t>
  </si>
  <si>
    <t xml:space="preserve">main.py (event posts)</t>
  </si>
  <si>
    <t xml:space="preserve">listings</t>
  </si>
  <si>
    <t xml:space="preserve">Buy and sell posts</t>
  </si>
  <si>
    <t xml:space="preserve">main.py</t>
  </si>
  <si>
    <t xml:space="preserve">machines</t>
  </si>
  <si>
    <t xml:space="preserve">Washing machine status, one row per machine</t>
  </si>
  <si>
    <t xml:space="preserve">cv_machine.py</t>
  </si>
  <si>
    <t xml:space="preserve">bookings</t>
  </si>
  <si>
    <t xml:space="preserve">Room bookings (day, start, end)</t>
  </si>
  <si>
    <t xml:space="preserve">students</t>
  </si>
  <si>
    <t xml:space="preserve">Alert preferences: interests and level</t>
  </si>
  <si>
    <t xml:space="preserve">DM command, app</t>
  </si>
  <si>
    <t xml:space="preserve">outbox</t>
  </si>
  <si>
    <t xml:space="preserve">Private alerts waiting for the bot to send</t>
  </si>
  <si>
    <t xml:space="preserve">Match_Check</t>
  </si>
  <si>
    <t xml:space="preserve">Formula check: does a found item exist for each lost report?</t>
  </si>
  <si>
    <t xml:space="preserve">Lists</t>
  </si>
  <si>
    <t xml:space="preserve">Dropdown values used by validation (edit here)</t>
  </si>
  <si>
    <t xml:space="preserve">Arushi</t>
  </si>
  <si>
    <t xml:space="preserve">Change_Log</t>
  </si>
  <si>
    <t xml:space="preserve">Change procedure and proposed schema changes</t>
  </si>
  <si>
    <t xml:space="preserve">HOW A LOST ITEM MOVES THROUGH lost_found.status</t>
  </si>
  <si>
    <t xml:space="preserve">open</t>
  </si>
  <si>
    <t xml:space="preserve">A new lost report or found item. Only open FOUND rows are offered as matches.</t>
  </si>
  <si>
    <t xml:space="preserve">matched</t>
  </si>
  <si>
    <t xml:space="preserve">Set on the LOST row when a matching found item arrives (chat post or camera). The owner gets a "Good news!" alert.</t>
  </si>
  <si>
    <t xml:space="preserve">claim_pending</t>
  </si>
  <si>
    <t xml:space="preserve">Set when someone DMs "claim &lt;id&gt;". The id is the FOUND item's row, so it is the found row that changes.</t>
  </si>
  <si>
    <t xml:space="preserve">claimed</t>
  </si>
  <si>
    <t xml:space="preserve">Set on a camera item when it is removed from the shelf. Chat-posted items have no automatic path to claimed yet.</t>
  </si>
  <si>
    <t xml:space="preserve">CONVENTIONS</t>
  </si>
  <si>
    <t xml:space="preserve">•  Timestamps (created, updated) are ISO 8601 text: 2026-10-27T11:30:00. Date/time columns are formatted as text so Excel does not rewrite them.</t>
  </si>
  <si>
    <t xml:space="preserve">•  Contacts are WhatsApp ids (91XXXXXXXXXX@c.us, or ...@lid). All ids in the sample rows are fictional placeholders.</t>
  </si>
  <si>
    <t xml:space="preserve">•  Interests are lowercase and comma-separated with no spaces, so main.py's split matches them against categories.</t>
  </si>
  <si>
    <t xml:space="preserve">•  Dropdowns and format checks on each table sheet mirror what main.py accepts. Format checks warn but allow override.</t>
  </si>
  <si>
    <t xml:space="preserve">•  Add new rows directly under the last row. Dashboard, Match_Check and the counts above read down to row 1000.</t>
  </si>
  <si>
    <t xml:space="preserve">•  Sample rows show every status and flow. Delete them before using this as a real record.</t>
  </si>
  <si>
    <t xml:space="preserve">COLOUR LEGEND</t>
  </si>
  <si>
    <t xml:space="preserve">Sample</t>
  </si>
  <si>
    <t xml:space="preserve">Input cell you may change (Dashboard reference date)</t>
  </si>
  <si>
    <t xml:space="preserve">Column headers (match the real column names exactly)</t>
  </si>
  <si>
    <t xml:space="preserve">Banded sample rows and totals</t>
  </si>
  <si>
    <t xml:space="preserve">Good / done / free / sent</t>
  </si>
  <si>
    <t xml:space="preserve">Needs attention / in use / claim pending</t>
  </si>
  <si>
    <t xml:space="preserve">Vernier dashboard</t>
  </si>
  <si>
    <t xml:space="preserve">Every number below is a live formula over the table sheets. Edit data there, not here.</t>
  </si>
  <si>
    <t xml:space="preserve">Reference date for room bookings</t>
  </si>
  <si>
    <t xml:space="preserve">2026-10-27</t>
  </si>
  <si>
    <t xml:space="preserve">Input (text, YYYY-MM-DD). Change it to see another day's bookings.</t>
  </si>
  <si>
    <t xml:space="preserve">LOST &amp; FOUND</t>
  </si>
  <si>
    <t xml:space="preserve">Status</t>
  </si>
  <si>
    <t xml:space="preserve">Lost reports</t>
  </si>
  <si>
    <t xml:space="preserve">Found items</t>
  </si>
  <si>
    <t xml:space="preserve">Total</t>
  </si>
  <si>
    <t xml:space="preserve">Indicator</t>
  </si>
  <si>
    <t xml:space="preserve">Value</t>
  </si>
  <si>
    <t xml:space="preserve">How it is calculated</t>
  </si>
  <si>
    <t xml:space="preserve">Records from chat</t>
  </si>
  <si>
    <t xml:space="preserve">source = chat</t>
  </si>
  <si>
    <t xml:space="preserve">Records from shelf camera</t>
  </si>
  <si>
    <t xml:space="preserve">source = camera</t>
  </si>
  <si>
    <t xml:space="preserve">Camera share of all records</t>
  </si>
  <si>
    <t xml:space="preserve">camera records / all records</t>
  </si>
  <si>
    <t xml:space="preserve">Lost reports already matched</t>
  </si>
  <si>
    <t xml:space="preserve">lost rows with status 'matched' / all lost rows</t>
  </si>
  <si>
    <t xml:space="preserve">Found items waiting for an owner</t>
  </si>
  <si>
    <t xml:space="preserve">found rows with status 'open'</t>
  </si>
  <si>
    <t xml:space="preserve">EVENTS &amp; ALERT REACH</t>
  </si>
  <si>
    <t xml:space="preserve">Category</t>
  </si>
  <si>
    <t xml:space="preserve">Events</t>
  </si>
  <si>
    <t xml:space="preserve">Major events</t>
  </si>
  <si>
    <t xml:space="preserve">Followers: all alerts</t>
  </si>
  <si>
    <t xml:space="preserve">Followers: major only</t>
  </si>
  <si>
    <t xml:space="preserve">Followers are subscriptions: one student following three categories counts three times.</t>
  </si>
  <si>
    <t xml:space="preserve">BUY / SELL</t>
  </si>
  <si>
    <t xml:space="preserve">Metric</t>
  </si>
  <si>
    <t xml:space="preserve">Open sell listings</t>
  </si>
  <si>
    <t xml:space="preserve">Open buy requests</t>
  </si>
  <si>
    <t xml:space="preserve">All listings stored</t>
  </si>
  <si>
    <t xml:space="preserve">LAUNDRY</t>
  </si>
  <si>
    <t xml:space="preserve">Machines tracked</t>
  </si>
  <si>
    <t xml:space="preserve">In use</t>
  </si>
  <si>
    <t xml:space="preserve">Free</t>
  </si>
  <si>
    <t xml:space="preserve">Utilisation right now</t>
  </si>
  <si>
    <t xml:space="preserve">ROOMS</t>
  </si>
  <si>
    <t xml:space="preserve">Room</t>
  </si>
  <si>
    <t xml:space="preserve">Bookings on reference date</t>
  </si>
  <si>
    <t xml:space="preserve">All rooms on reference date</t>
  </si>
  <si>
    <t xml:space="preserve">All bookings stored</t>
  </si>
  <si>
    <t xml:space="preserve">STUDENTS &amp; ALERTS</t>
  </si>
  <si>
    <t xml:space="preserve">Students registered</t>
  </si>
  <si>
    <t xml:space="preserve">Follow all events</t>
  </si>
  <si>
    <t xml:space="preserve">Follow major events only</t>
  </si>
  <si>
    <t xml:space="preserve">Alerts queued (outbox rows)</t>
  </si>
  <si>
    <t xml:space="preserve">Alerts sent</t>
  </si>
  <si>
    <t xml:space="preserve">Alerts pending</t>
  </si>
  <si>
    <t xml:space="preserve">Pending share</t>
  </si>
  <si>
    <t xml:space="preserve">Data dictionary: every column in vernier.db</t>
  </si>
  <si>
    <t xml:space="preserve">Mirrors init_db() in backend/db.py. If the two ever disagree, db.py wins; update this sheet and log the change in Change_Log.</t>
  </si>
  <si>
    <t xml:space="preserve">Table</t>
  </si>
  <si>
    <t xml:space="preserve">Column</t>
  </si>
  <si>
    <t xml:space="preserve">SQLite type</t>
  </si>
  <si>
    <t xml:space="preserve">Key</t>
  </si>
  <si>
    <t xml:space="preserve">Default</t>
  </si>
  <si>
    <t xml:space="preserve">Allowed values / format</t>
  </si>
  <si>
    <t xml:space="preserve">Read by</t>
  </si>
  <si>
    <t xml:space="preserve">Example</t>
  </si>
  <si>
    <t xml:space="preserve">Notes</t>
  </si>
  <si>
    <t xml:space="preserve">id</t>
  </si>
  <si>
    <t xml:space="preserve">INTEGER</t>
  </si>
  <si>
    <t xml:space="preserve">PK</t>
  </si>
  <si>
    <t xml:space="preserve">auto</t>
  </si>
  <si>
    <t xml:space="preserve">whole number &gt;= 1</t>
  </si>
  <si>
    <t xml:space="preserve">SQLite (auto)</t>
  </si>
  <si>
    <t xml:space="preserve">claim command, /camera/item/{id}/removed, bot replies, app</t>
  </si>
  <si>
    <t xml:space="preserve">7</t>
  </si>
  <si>
    <t xml:space="preserve">Students see this id in "claim &lt;id&gt;". The claim DM updates the row with that id, i.e. the FOUND item's row.</t>
  </si>
  <si>
    <t xml:space="preserve">kind</t>
  </si>
  <si>
    <t xml:space="preserve">TEXT</t>
  </si>
  <si>
    <t xml:space="preserve">none</t>
  </si>
  <si>
    <t xml:space="preserve">lost | found</t>
  </si>
  <si>
    <t xml:space="preserve">add_lost_found() in main.py</t>
  </si>
  <si>
    <t xml:space="preserve">find_matches(), ask_lost, app</t>
  </si>
  <si>
    <t xml:space="preserve">found</t>
  </si>
  <si>
    <t xml:space="preserve">No DEFAULT or CHECK in SQL: validity is enforced by main.py only.</t>
  </si>
  <si>
    <t xml:space="preserve">item</t>
  </si>
  <si>
    <t xml:space="preserve">short noun, lowercase</t>
  </si>
  <si>
    <t xml:space="preserve">llm.extract (chat) / cv_shelf.py (camera)</t>
  </si>
  <si>
    <t xml:space="preserve">match_score(), replies, app</t>
  </si>
  <si>
    <t xml:space="preserve">earbuds</t>
  </si>
  <si>
    <t xml:space="preserve">Matching needs at least one shared word in item, so keep it a clean short noun ("earbuds", not "my black boat earbuds").</t>
  </si>
  <si>
    <t xml:space="preserve">colour</t>
  </si>
  <si>
    <t xml:space="preserve">one simple word, or empty</t>
  </si>
  <si>
    <t xml:space="preserve">llm.extract / cv_shelf.py</t>
  </si>
  <si>
    <t xml:space="preserve">match_score(), replies</t>
  </si>
  <si>
    <t xml:space="preserve">black</t>
  </si>
  <si>
    <t xml:space="preserve">Colour words count in the Jaccard score; empty is allowed.</t>
  </si>
  <si>
    <t xml:space="preserve">place</t>
  </si>
  <si>
    <t xml:space="preserve">free text</t>
  </si>
  <si>
    <t xml:space="preserve">llm.extract / camera shelf location</t>
  </si>
  <si>
    <t xml:space="preserve">replies ("found near ...")</t>
  </si>
  <si>
    <t xml:space="preserve">Rack C, Basket 3</t>
  </si>
  <si>
    <t xml:space="preserve">Camera items store the shelf slot; chat items store whatever the student wrote.</t>
  </si>
  <si>
    <t xml:space="preserve">details</t>
  </si>
  <si>
    <t xml:space="preserve">original message text; empty for camera items</t>
  </si>
  <si>
    <t xml:space="preserve">main.py (data["details"] = text)</t>
  </si>
  <si>
    <t xml:space="preserve">app, staff review</t>
  </si>
  <si>
    <t xml:space="preserve">found black earbuds near library desk</t>
  </si>
  <si>
    <t xml:space="preserve">PRIVACY: this keeps the full text a student typed, which can contain names or phone numbers. Not used by matching.</t>
  </si>
  <si>
    <t xml:space="preserve">contact</t>
  </si>
  <si>
    <t xml:space="preserve">WhatsApp id: 91XXXXXXXXXX@c.us or ...@lid; empty for camera</t>
  </si>
  <si>
    <t xml:space="preserve">main.py (m.author)</t>
  </si>
  <si>
    <t xml:space="preserve">handle_found() to alert the owner</t>
  </si>
  <si>
    <t xml:space="preserve">919800000001@c.us</t>
  </si>
  <si>
    <t xml:space="preserve">Newer accounts appear as @lid ids rather than phone numbers.</t>
  </si>
  <si>
    <t xml:space="preserve">source</t>
  </si>
  <si>
    <t xml:space="preserve">chat | camera</t>
  </si>
  <si>
    <t xml:space="preserve">main.py / POST /camera/item</t>
  </si>
  <si>
    <t xml:space="preserve">handle_found() wording, ask_lost</t>
  </si>
  <si>
    <t xml:space="preserve">camera</t>
  </si>
  <si>
    <t xml:space="preserve">Decides whether a reply says "on the shelf" or "reported near ...".</t>
  </si>
  <si>
    <t xml:space="preserve">status</t>
  </si>
  <si>
    <t xml:space="preserve">'open'</t>
  </si>
  <si>
    <t xml:space="preserve">open | matched | claim_pending | claimed</t>
  </si>
  <si>
    <t xml:space="preserve">default open; handle_found() -&gt; matched (the LOST row); "claim &lt;id&gt;" DM -&gt; claim_pending; camera removal -&gt; claimed</t>
  </si>
  <si>
    <t xml:space="preserve">find_matches() (open only), ask_lost, app</t>
  </si>
  <si>
    <t xml:space="preserve">See the lifecycle on the Overview sheet. Only open found rows are offered as matches.</t>
  </si>
  <si>
    <t xml:space="preserve">created</t>
  </si>
  <si>
    <t xml:space="preserve">ISO 8601 text: YYYY-MM-DDTHH:MM:SS</t>
  </si>
  <si>
    <t xml:space="preserve">db.now()</t>
  </si>
  <si>
    <t xml:space="preserve">ordering, app</t>
  </si>
  <si>
    <t xml:space="preserve">2026-10-26T14:40:55</t>
  </si>
  <si>
    <t xml:space="preserve">Stored as text, so keep the exact format.</t>
  </si>
  <si>
    <t xml:space="preserve">ORDER BY id DESC in ask_events</t>
  </si>
  <si>
    <t xml:space="preserve">4</t>
  </si>
  <si>
    <t xml:space="preserve">title</t>
  </si>
  <si>
    <t xml:space="preserve">short clean title</t>
  </si>
  <si>
    <t xml:space="preserve">llm.extract; falls back to first 80 chars of the message</t>
  </si>
  <si>
    <t xml:space="preserve">ask_events, alerts, app</t>
  </si>
  <si>
    <t xml:space="preserve">Inter-hostel football final</t>
  </si>
  <si>
    <t xml:space="preserve">Used as the alert headline, so keep it short.</t>
  </si>
  <si>
    <t xml:space="preserve">category</t>
  </si>
  <si>
    <t xml:space="preserve">'other' in code</t>
  </si>
  <si>
    <t xml:space="preserve">sports | music | dance | theatre | culture | tech | academic | other</t>
  </si>
  <si>
    <t xml:space="preserve">llm.extract (enum in SCHEMA)</t>
  </si>
  <si>
    <t xml:space="preserve">notify_interested(), app cards</t>
  </si>
  <si>
    <t xml:space="preserve">sports</t>
  </si>
  <si>
    <t xml:space="preserve">Must be one of CATEGORIES in llm.py; students follow these names.</t>
  </si>
  <si>
    <t xml:space="preserve">date</t>
  </si>
  <si>
    <t xml:space="preserve">free text, e.g. "Friday 5 PM"</t>
  </si>
  <si>
    <t xml:space="preserve">llm.extract</t>
  </si>
  <si>
    <t xml:space="preserve">alert text, ask_events</t>
  </si>
  <si>
    <t xml:space="preserve">Friday 5 PM</t>
  </si>
  <si>
    <t xml:space="preserve">Not machine-readable. Needs a real date column before any "events this week" filtering or dedupe-by-date.</t>
  </si>
  <si>
    <t xml:space="preserve">venue</t>
  </si>
  <si>
    <t xml:space="preserve">Main ground</t>
  </si>
  <si>
    <t xml:space="preserve">original post text</t>
  </si>
  <si>
    <t xml:space="preserve">main.py (text)</t>
  </si>
  <si>
    <t xml:space="preserve">Open mic night Sunday 7pm...</t>
  </si>
  <si>
    <t xml:space="preserve">Same privacy note as lost_found.details.</t>
  </si>
  <si>
    <t xml:space="preserve">major</t>
  </si>
  <si>
    <t xml:space="preserve">0 | 1</t>
  </si>
  <si>
    <t xml:space="preserve">llm.extract (boolean) -&gt; int</t>
  </si>
  <si>
    <t xml:space="preserve">notify_interested() for major-only followers</t>
  </si>
  <si>
    <t xml:space="preserve">1</t>
  </si>
  <si>
    <t xml:space="preserve">1 = official, fest-level or inter-college; 0 = small club meet-up.</t>
  </si>
  <si>
    <t xml:space="preserve">name of the WhatsApp group (chat_name); "seed" for /dev/seed rows</t>
  </si>
  <si>
    <t xml:space="preserve">main.py (m.chat_name)</t>
  </si>
  <si>
    <t xml:space="preserve">staff review</t>
  </si>
  <si>
    <t xml:space="preserve">Sports Council</t>
  </si>
  <si>
    <t xml:space="preserve">Useful for tracing which group an announcement came from.</t>
  </si>
  <si>
    <t xml:space="preserve">ISO 8601 text</t>
  </si>
  <si>
    <t xml:space="preserve">ordering</t>
  </si>
  <si>
    <t xml:space="preserve">2026-10-25T13:15:44</t>
  </si>
  <si>
    <t xml:space="preserve">ask_listings ordering</t>
  </si>
  <si>
    <t xml:space="preserve">5</t>
  </si>
  <si>
    <t xml:space="preserve">sell | buy</t>
  </si>
  <si>
    <t xml:space="preserve">main.py (sell_post -&gt; sell, buy_request -&gt; buy)</t>
  </si>
  <si>
    <t xml:space="preserve">sell/buy matching, ask_listings</t>
  </si>
  <si>
    <t xml:space="preserve">sell</t>
  </si>
  <si>
    <t xml:space="preserve">short noun</t>
  </si>
  <si>
    <t xml:space="preserve">token matching between buyers and sellers</t>
  </si>
  <si>
    <t xml:space="preserve">cooler</t>
  </si>
  <si>
    <t xml:space="preserve">Matching needs a shared word, so "second-hand cycle" matches "cycle".</t>
  </si>
  <si>
    <t xml:space="preserve">price</t>
  </si>
  <si>
    <t xml:space="preserve">free text, e.g. "₹2000"; empty for buy requests</t>
  </si>
  <si>
    <t xml:space="preserve">seller alert text, ask_listings</t>
  </si>
  <si>
    <t xml:space="preserve">₹2000</t>
  </si>
  <si>
    <t xml:space="preserve">Text, not a number, so price filtering needs parsing first.</t>
  </si>
  <si>
    <t xml:space="preserve">original message text</t>
  </si>
  <si>
    <t xml:space="preserve">app</t>
  </si>
  <si>
    <t xml:space="preserve">selling my cycle, 2000 rs, barely used</t>
  </si>
  <si>
    <t xml:space="preserve">WhatsApp id</t>
  </si>
  <si>
    <t xml:space="preserve">alerts to matching buyers</t>
  </si>
  <si>
    <t xml:space="preserve">919800000009@c.us</t>
  </si>
  <si>
    <t xml:space="preserve">Never shown to other students; they must reply to the bot.</t>
  </si>
  <si>
    <t xml:space="preserve">open (sold is a suggestion, not used yet)</t>
  </si>
  <si>
    <t xml:space="preserve">default open</t>
  </si>
  <si>
    <t xml:space="preserve">ask_listings / matching (open only)</t>
  </si>
  <si>
    <t xml:space="preserve">Nothing closes a listing yet. Add a handler before the demo if stale listings matter.</t>
  </si>
  <si>
    <t xml:space="preserve">2026-10-25T19:10:00</t>
  </si>
  <si>
    <t xml:space="preserve">short code, e.g. b8, g3</t>
  </si>
  <si>
    <t xml:space="preserve">POST /camera/machine</t>
  </si>
  <si>
    <t xml:space="preserve">ask_laundry</t>
  </si>
  <si>
    <t xml:space="preserve">b8</t>
  </si>
  <si>
    <t xml:space="preserve">INSERT OR REPLACE: one row per machine, always the latest state.</t>
  </si>
  <si>
    <t xml:space="preserve">location</t>
  </si>
  <si>
    <t xml:space="preserve">ask_laundry replies</t>
  </si>
  <si>
    <t xml:space="preserve">8th floor boys hostel</t>
  </si>
  <si>
    <t xml:space="preserve">Students name machines by this text, so the LLM's `machine` field should resemble it.</t>
  </si>
  <si>
    <t xml:space="preserve">in use | free</t>
  </si>
  <si>
    <t xml:space="preserve">cv_machine.py (motion in a box)</t>
  </si>
  <si>
    <t xml:space="preserve">ask_laundry, app</t>
  </si>
  <si>
    <t xml:space="preserve">free</t>
  </si>
  <si>
    <t xml:space="preserve">updated</t>
  </si>
  <si>
    <t xml:space="preserve">ask_laundry (freshness)</t>
  </si>
  <si>
    <t xml:space="preserve">2026-10-27T11:20:05</t>
  </si>
  <si>
    <t xml:space="preserve">A stale timestamp means the camera script stopped reporting.</t>
  </si>
  <si>
    <t xml:space="preserve">3</t>
  </si>
  <si>
    <t xml:space="preserve">room</t>
  </si>
  <si>
    <t xml:space="preserve">lowercase free text, e.g. music room</t>
  </si>
  <si>
    <t xml:space="preserve">main.py (llm room, lowercased)</t>
  </si>
  <si>
    <t xml:space="preserve">clash check, ask_room</t>
  </si>
  <si>
    <t xml:space="preserve">music room</t>
  </si>
  <si>
    <t xml:space="preserve">Compared case-insensitively; keep names consistent.</t>
  </si>
  <si>
    <t xml:space="preserve">day</t>
  </si>
  <si>
    <t xml:space="preserve">YYYY-MM-DD</t>
  </si>
  <si>
    <t xml:space="preserve">main.py (today only for now)</t>
  </si>
  <si>
    <t xml:space="preserve">ask_room, clash check</t>
  </si>
  <si>
    <t xml:space="preserve">Column already supports future dates; the handler books today only until the LLM gets a `day` field.</t>
  </si>
  <si>
    <t xml:space="preserve">start</t>
  </si>
  <si>
    <t xml:space="preserve">HH:MM, 24h</t>
  </si>
  <si>
    <t xml:space="preserve">overlaps()</t>
  </si>
  <si>
    <t xml:space="preserve">17:00</t>
  </si>
  <si>
    <t xml:space="preserve">end</t>
  </si>
  <si>
    <t xml:space="preserve">HH:MM, 24h (default start + 1h)</t>
  </si>
  <si>
    <t xml:space="preserve">llm.extract or main.py default</t>
  </si>
  <si>
    <t xml:space="preserve">18:00</t>
  </si>
  <si>
    <t xml:space="preserve">Back-to-back bookings (18:00 end, 18:00 start) are allowed: the clash test is start &lt; other_end AND other_start &lt; end.</t>
  </si>
  <si>
    <t xml:space="preserve">booked_by</t>
  </si>
  <si>
    <t xml:space="preserve">WhatsApp id, 91XXXXXXXXXX@c.us</t>
  </si>
  <si>
    <t xml:space="preserve">"interests:" DM, POST /preferences</t>
  </si>
  <si>
    <t xml:space="preserve">notify_interested()</t>
  </si>
  <si>
    <t xml:space="preserve">INSERT OR REPLACE: sending interests again overwrites the whole row.</t>
  </si>
  <si>
    <t xml:space="preserve">interests</t>
  </si>
  <si>
    <t xml:space="preserve">lowercase, comma-separated, no spaces: dance,music</t>
  </si>
  <si>
    <t xml:space="preserve">main.py / POST /preferences</t>
  </si>
  <si>
    <t xml:space="preserve">dance,music</t>
  </si>
  <si>
    <t xml:space="preserve">Values should match CATEGORIES exactly or the student will never be alerted.</t>
  </si>
  <si>
    <t xml:space="preserve">level</t>
  </si>
  <si>
    <t xml:space="preserve">all | major</t>
  </si>
  <si>
    <t xml:space="preserve">major = only events where events.major = 1.</t>
  </si>
  <si>
    <t xml:space="preserve">take_outbox() ordering</t>
  </si>
  <si>
    <t xml:space="preserve">to_chat</t>
  </si>
  <si>
    <t xml:space="preserve">db.queue()</t>
  </si>
  <si>
    <t xml:space="preserve">bot via GET /outbox</t>
  </si>
  <si>
    <t xml:space="preserve">919800000005@c.us</t>
  </si>
  <si>
    <t xml:space="preserve">queue() silently skips empty targets.</t>
  </si>
  <si>
    <t xml:space="preserve">text</t>
  </si>
  <si>
    <t xml:space="preserve">message to send</t>
  </si>
  <si>
    <t xml:space="preserve">New tech update: ...</t>
  </si>
  <si>
    <t xml:space="preserve">sent</t>
  </si>
  <si>
    <t xml:space="preserve">0</t>
  </si>
  <si>
    <t xml:space="preserve">take_outbox() sets 1</t>
  </si>
  <si>
    <t xml:space="preserve">take_outbox() (sent = 0 only)</t>
  </si>
  <si>
    <t xml:space="preserve">Set to 1 when the bot FETCHES the alert, not when WhatsApp delivers it. If the bot crashes between fetch and send, that alert is lost.</t>
  </si>
  <si>
    <t xml:space="preserve">2026-10-26T09:00:16</t>
  </si>
  <si>
    <t xml:space="preserve">Intent map: what each message type does to the database</t>
  </si>
  <si>
    <t xml:space="preserve">From backend/main.py POST /message. Change a table here and the handler for these intents must change with it (tell Avik).</t>
  </si>
  <si>
    <t xml:space="preserve">Intent</t>
  </si>
  <si>
    <t xml:space="preserve">Triggered by</t>
  </si>
  <si>
    <t xml:space="preserve">Fields used</t>
  </si>
  <si>
    <t xml:space="preserve">Writes</t>
  </si>
  <si>
    <t xml:space="preserve">Reads</t>
  </si>
  <si>
    <t xml:space="preserve">What the student gets back</t>
  </si>
  <si>
    <t xml:space="preserve">lost_report</t>
  </si>
  <si>
    <t xml:space="preserve">"mera black boat earphones kho gaya"</t>
  </si>
  <si>
    <t xml:space="preserve">item, colour, place</t>
  </si>
  <si>
    <t xml:space="preserve">lost_found (kind=lost, source=chat); outbox in groups</t>
  </si>
  <si>
    <t xml:space="preserve">lost_found (open found rows)</t>
  </si>
  <si>
    <t xml:space="preserve">Possible match with a claim prompt, or "Noted ...". In a group the reply goes to the author privately.</t>
  </si>
  <si>
    <t xml:space="preserve">found_report</t>
  </si>
  <si>
    <t xml:space="preserve">"found a blue jacket in canteen"</t>
  </si>
  <si>
    <t xml:space="preserve">lost_found (kind=found); outbox + UPDATE matching lost row to matched</t>
  </si>
  <si>
    <t xml:space="preserve">lost_found (open lost rows)</t>
  </si>
  <si>
    <t xml:space="preserve">"Thanks! I've logged it" and, if matched, the owner gets a "Good news!" alert with a claim prompt.</t>
  </si>
  <si>
    <t xml:space="preserve">event_post</t>
  </si>
  <si>
    <t xml:space="preserve">"Dance club auditions Friday 5pm"</t>
  </si>
  <si>
    <t xml:space="preserve">title, category, date, venue, major</t>
  </si>
  <si>
    <t xml:space="preserve">events; outbox (one alert per following student)</t>
  </si>
  <si>
    <t xml:space="preserve">"Event noted". Followers (level all, or major only for major events) are alerted.</t>
  </si>
  <si>
    <t xml:space="preserve">sell_post</t>
  </si>
  <si>
    <t xml:space="preserve">"selling my cycle 2000 rs"</t>
  </si>
  <si>
    <t xml:space="preserve">item, price</t>
  </si>
  <si>
    <t xml:space="preserve">listings (kind=sell); outbox (alerts to matching buyers)</t>
  </si>
  <si>
    <t xml:space="preserve">listings (open buy rows)</t>
  </si>
  <si>
    <t xml:space="preserve">"Listed!" Matching buyers get a private alert.</t>
  </si>
  <si>
    <t xml:space="preserve">buy_request</t>
  </si>
  <si>
    <t xml:space="preserve">"anyone selling a cooler?"</t>
  </si>
  <si>
    <t xml:space="preserve">listings (kind=buy)</t>
  </si>
  <si>
    <t xml:space="preserve">listings (open sell rows)</t>
  </si>
  <si>
    <t xml:space="preserve">"Listed!" plus a count of possible matches.</t>
  </si>
  <si>
    <t xml:space="preserve">ask_lost</t>
  </si>
  <si>
    <t xml:space="preserve">"has anyone found my earbuds?"</t>
  </si>
  <si>
    <t xml:space="preserve">nothing</t>
  </si>
  <si>
    <t xml:space="preserve">lost_found (found, open, newest 30)</t>
  </si>
  <si>
    <t xml:space="preserve">A short written answer built only from those rows.</t>
  </si>
  <si>
    <t xml:space="preserve">ask_events</t>
  </si>
  <si>
    <t xml:space="preserve">"what events are on this weekend?"</t>
  </si>
  <si>
    <t xml:space="preserve">events (newest 20)</t>
  </si>
  <si>
    <t xml:space="preserve">Short answer from those rows.</t>
  </si>
  <si>
    <t xml:space="preserve">ask_listings</t>
  </si>
  <si>
    <t xml:space="preserve">"what's for sale?"</t>
  </si>
  <si>
    <t xml:space="preserve">listings (open, newest 20)</t>
  </si>
  <si>
    <t xml:space="preserve">ask_room</t>
  </si>
  <si>
    <t xml:space="preserve">"is the music room free at 5?"</t>
  </si>
  <si>
    <t xml:space="preserve">bookings (reference day)</t>
  </si>
  <si>
    <t xml:space="preserve">Short answer from today's bookings.</t>
  </si>
  <si>
    <t xml:space="preserve">book_room</t>
  </si>
  <si>
    <t xml:space="preserve">"book the meeting room 3 to 4pm"</t>
  </si>
  <si>
    <t xml:space="preserve">room, start, end</t>
  </si>
  <si>
    <t xml:space="preserve">bookings (after a clash check)</t>
  </si>
  <si>
    <t xml:space="preserve">"Booked!" or "already booked between ...".</t>
  </si>
  <si>
    <t xml:space="preserve">"is the 8th floor machine free?"</t>
  </si>
  <si>
    <t xml:space="preserve">machine</t>
  </si>
  <si>
    <t xml:space="preserve">Short answer from machine rows.</t>
  </si>
  <si>
    <t xml:space="preserve">ask_person</t>
  </si>
  <si>
    <t xml:space="preserve">"where is Rahul right now"</t>
  </si>
  <si>
    <t xml:space="preserve">Fixed privacy refusal. Never touches the database.</t>
  </si>
  <si>
    <t xml:space="preserve">chit_chat / other</t>
  </si>
  <si>
    <t xml:space="preserve">"haha same bro"</t>
  </si>
  <si>
    <t xml:space="preserve">Help message (DMs and tagged groups only).</t>
  </si>
  <si>
    <t xml:space="preserve">set_interests (not LLM)</t>
  </si>
  <si>
    <t xml:space="preserve">DM: "interests: dance, music major"</t>
  </si>
  <si>
    <t xml:space="preserve">parsed by main.py</t>
  </si>
  <si>
    <t xml:space="preserve">students (INSERT OR REPLACE)</t>
  </si>
  <si>
    <t xml:space="preserve">"Saved! You'll get ..."</t>
  </si>
  <si>
    <t xml:space="preserve">claim (not LLM)</t>
  </si>
  <si>
    <t xml:space="preserve">DM: "claim 7"</t>
  </si>
  <si>
    <t xml:space="preserve">id from message</t>
  </si>
  <si>
    <t xml:space="preserve">lost_found.status -&gt; claim_pending</t>
  </si>
  <si>
    <t xml:space="preserve">"Your claim is noted ..." (no ownership check is stored yet).</t>
  </si>
  <si>
    <t xml:space="preserve">blocked / skipped / llm_error</t>
  </si>
  <si>
    <t xml:space="preserve">safety regex; untagged group chatter with no keyword; Ollama unreachable</t>
  </si>
  <si>
    <t xml:space="preserve">Refusal, silence, or "having trouble thinking".</t>
  </si>
  <si>
    <t xml:space="preserve">Non-chat writers (HTTP endpoints)</t>
  </si>
  <si>
    <t xml:space="preserve">Endpoint</t>
  </si>
  <si>
    <t xml:space="preserve">Called by</t>
  </si>
  <si>
    <t xml:space="preserve">Fields</t>
  </si>
  <si>
    <t xml:space="preserve">POST /camera/item</t>
  </si>
  <si>
    <t xml:space="preserve">cv_shelf.py</t>
  </si>
  <si>
    <t xml:space="preserve">item, colour, location</t>
  </si>
  <si>
    <t xml:space="preserve">lost_found (kind=found, source=camera); matching lost row -&gt; matched; outbox</t>
  </si>
  <si>
    <t xml:space="preserve">Returns the matched lost id, if any.</t>
  </si>
  <si>
    <t xml:space="preserve">POST /camera/item/{id}/removed</t>
  </si>
  <si>
    <t xml:space="preserve">id in URL</t>
  </si>
  <si>
    <t xml:space="preserve">lost_found.status -&gt; claimed</t>
  </si>
  <si>
    <t xml:space="preserve">Item left the shelf; assumed collected.</t>
  </si>
  <si>
    <t xml:space="preserve">id, location, status</t>
  </si>
  <si>
    <t xml:space="preserve">machines (INSERT OR REPLACE)</t>
  </si>
  <si>
    <t xml:space="preserve">One row per machine, always the latest state.</t>
  </si>
  <si>
    <t xml:space="preserve">POST /preferences</t>
  </si>
  <si>
    <t xml:space="preserve">companion app</t>
  </si>
  <si>
    <t xml:space="preserve">phone, interests[], level</t>
  </si>
  <si>
    <t xml:space="preserve">10-digit numbers are prefixed with 91 and suffixed @c.us.</t>
  </si>
  <si>
    <t xml:space="preserve">GET /outbox</t>
  </si>
  <si>
    <t xml:space="preserve">WhatsApp bot (every 5 s)</t>
  </si>
  <si>
    <t xml:space="preserve">outbox.sent -&gt; 1</t>
  </si>
  <si>
    <t xml:space="preserve">outbox (sent = 0, oldest 20)</t>
  </si>
  <si>
    <t xml:space="preserve">Marks rows sent at fetch time, before delivery.</t>
  </si>
  <si>
    <t xml:space="preserve">GET /records/{table}</t>
  </si>
  <si>
    <t xml:space="preserve">table name</t>
  </si>
  <si>
    <t xml:space="preserve">any of the 7 tables (newest 200)</t>
  </si>
  <si>
    <t xml:space="preserve">Read-only view used by the dashboards.</t>
  </si>
  <si>
    <t xml:space="preserve">POST /dev/seed</t>
  </si>
  <si>
    <t xml:space="preserve">developers</t>
  </si>
  <si>
    <t xml:space="preserve">lost_found, events, listings, machines</t>
  </si>
  <si>
    <t xml:space="preserve">Test data only. Run once after a fresh database.</t>
  </si>
  <si>
    <t xml:space="preserve">SQL reference</t>
  </si>
  <si>
    <t xml:space="preserve">Copy-paste into DB Browser for SQLite (Execute SQL tab) against backend/vernier.db.</t>
  </si>
  <si>
    <t xml:space="preserve">Purpose</t>
  </si>
  <si>
    <t xml:space="preserve">SQL</t>
  </si>
  <si>
    <t xml:space="preserve">SCHEMA (from db.py init_db)</t>
  </si>
  <si>
    <t xml:space="preserve">Create table</t>
  </si>
  <si>
    <t xml:space="preserve">CREATE TABLE IF NOT EXISTS lost_found(
    id INTEGER PRIMARY KEY, kind TEXT, item TEXT, colour TEXT, place TEXT,
    details TEXT, contact TEXT, source TEXT, status TEXT DEFAULT 'open', created TEXT);</t>
  </si>
  <si>
    <t xml:space="preserve">CREATE TABLE IF NOT EXISTS events(
    id INTEGER PRIMARY KEY, title TEXT, category TEXT, date TEXT, venue TEXT,
    details TEXT, major INTEGER, source TEXT, created TEXT);</t>
  </si>
  <si>
    <t xml:space="preserve">CREATE TABLE IF NOT EXISTS listings(
    id INTEGER PRIMARY KEY, kind TEXT, item TEXT, price TEXT, details TEXT,
    contact TEXT, status TEXT DEFAULT 'open', created TEXT);</t>
  </si>
  <si>
    <t xml:space="preserve">CREATE TABLE IF NOT EXISTS machines(
    id TEXT PRIMARY KEY, location TEXT, status TEXT, updated TEXT);</t>
  </si>
  <si>
    <t xml:space="preserve">CREATE TABLE IF NOT EXISTS bookings(
    id INTEGER PRIMARY KEY, room TEXT, day TEXT, start TEXT, end TEXT, booked_by TEXT);</t>
  </si>
  <si>
    <t xml:space="preserve">CREATE TABLE IF NOT EXISTS students(
    contact TEXT PRIMARY KEY, interests TEXT, level TEXT);</t>
  </si>
  <si>
    <t xml:space="preserve">CREATE TABLE IF NOT EXISTS outbox(
    id INTEGER PRIMARY KEY, to_chat TEXT, text TEXT, sent INTEGER DEFAULT 0, created TEXT);</t>
  </si>
  <si>
    <t xml:space="preserve">QUERIES THE BACKEND RUNS</t>
  </si>
  <si>
    <t xml:space="preserve">Candidates for matching (find_matches)</t>
  </si>
  <si>
    <t xml:space="preserve">SELECT * FROM lost_found WHERE kind = 'found' AND status = 'open';</t>
  </si>
  <si>
    <t xml:space="preserve">ask_lost answer rows</t>
  </si>
  <si>
    <t xml:space="preserve">SELECT id, item, colour, place, source, created FROM lost_found
WHERE kind = 'found' AND status = 'open' ORDER BY id DESC LIMIT 30;</t>
  </si>
  <si>
    <t xml:space="preserve">ask_events answer rows</t>
  </si>
  <si>
    <t xml:space="preserve">SELECT title, category, date, venue, major FROM events ORDER BY id DESC LIMIT 20;</t>
  </si>
  <si>
    <t xml:space="preserve">ask_listings answer rows</t>
  </si>
  <si>
    <t xml:space="preserve">SELECT item, price, kind FROM listings WHERE status = 'open' ORDER BY id DESC LIMIT 20;</t>
  </si>
  <si>
    <t xml:space="preserve">Bookings for a day and room</t>
  </si>
  <si>
    <t xml:space="preserve">SELECT room, start, end FROM bookings WHERE day = '2026-10-27' AND lower(room) = 'music room';</t>
  </si>
  <si>
    <t xml:space="preserve">Alerts waiting for the bot (take_outbox)</t>
  </si>
  <si>
    <t xml:space="preserve">SELECT id, to_chat, text FROM outbox WHERE sent = 0 ORDER BY id LIMIT 20;</t>
  </si>
  <si>
    <t xml:space="preserve">USEFUL CHECKS (proposed, not run by the app)</t>
  </si>
  <si>
    <t xml:space="preserve">Duplicate events (same title and date) to clean up or dedupe</t>
  </si>
  <si>
    <t xml:space="preserve">SELECT title, date, COUNT(*) AS copies FROM events GROUP BY lower(title), lower(date) HAVING COUNT(*) &gt; 1;</t>
  </si>
  <si>
    <t xml:space="preserve">Lost reports still open after 24 hours</t>
  </si>
  <si>
    <t xml:space="preserve">SELECT id, item, colour, place, created FROM lost_found
WHERE kind = 'lost' AND status = 'open' AND created &lt; datetime('now', '-1 day');</t>
  </si>
  <si>
    <t xml:space="preserve">Students whose interests contain an unknown category</t>
  </si>
  <si>
    <t xml:space="preserve">SELECT contact, interests FROM students
WHERE interests LIKE '% %' OR interests LIKE '%, %';</t>
  </si>
  <si>
    <t xml:space="preserve">Alerts that were fetched but may not have been delivered (review the bot log)</t>
  </si>
  <si>
    <t xml:space="preserve">SELECT id, to_chat, substr(text, 1, 60) AS preview, created FROM outbox WHERE sent = 1 ORDER BY id DESC LIMIT 20;</t>
  </si>
  <si>
    <t xml:space="preserve">Camera items currently on the shelf</t>
  </si>
  <si>
    <t xml:space="preserve">SELECT id, item, colour, place FROM lost_found WHERE source = 'camera' AND status IN ('open', 'claim_pending');</t>
  </si>
  <si>
    <t xml:space="preserve">ALL TABLES</t>
  </si>
  <si>
    <t xml:space="preserve">Reset after a schema change (stop backend first)</t>
  </si>
  <si>
    <t xml:space="preserve">-- 1. stop uvicorn   2. delete backend\vernier.db   3. start uvicorn   4. POST /dev/seed at /docs</t>
  </si>
  <si>
    <t xml:space="preserve">bottle</t>
  </si>
  <si>
    <t xml:space="preserve">clear</t>
  </si>
  <si>
    <t xml:space="preserve">2026-10-26T09:12:04</t>
  </si>
  <si>
    <t xml:space="preserve">hoodie</t>
  </si>
  <si>
    <t xml:space="preserve">pink</t>
  </si>
  <si>
    <t xml:space="preserve">Rack B, Hanger 4</t>
  </si>
  <si>
    <t xml:space="preserve">2026-10-26T09:14:31</t>
  </si>
  <si>
    <t xml:space="preserve">backpack</t>
  </si>
  <si>
    <t xml:space="preserve">purple</t>
  </si>
  <si>
    <t xml:space="preserve">Rack B, Bottom</t>
  </si>
  <si>
    <t xml:space="preserve">2026-10-26T09:15:10</t>
  </si>
  <si>
    <t xml:space="preserve">gloves</t>
  </si>
  <si>
    <t xml:space="preserve">Rack C, Basket 1</t>
  </si>
  <si>
    <t xml:space="preserve">2026-10-26T09:16:02</t>
  </si>
  <si>
    <t xml:space="preserve">lunch bag</t>
  </si>
  <si>
    <t xml:space="preserve">blue</t>
  </si>
  <si>
    <t xml:space="preserve">Rack A, Shelf 1</t>
  </si>
  <si>
    <t xml:space="preserve">2026-10-26T09:17:45</t>
  </si>
  <si>
    <t xml:space="preserve">lost</t>
  </si>
  <si>
    <t xml:space="preserve">library</t>
  </si>
  <si>
    <t xml:space="preserve">lost my black earbuds in library</t>
  </si>
  <si>
    <t xml:space="preserve">chat</t>
  </si>
  <si>
    <t xml:space="preserve">2026-10-26T11:02:19</t>
  </si>
  <si>
    <t xml:space="preserve">library desk</t>
  </si>
  <si>
    <t xml:space="preserve">919800000002@c.us</t>
  </si>
  <si>
    <t xml:space="preserve">block C canteen</t>
  </si>
  <si>
    <t xml:space="preserve">lost my blue water bottle near block C canteen</t>
  </si>
  <si>
    <t xml:space="preserve">919800000003@c.us</t>
  </si>
  <si>
    <t xml:space="preserve">2026-10-26T15:05:30</t>
  </si>
  <si>
    <t xml:space="preserve">grey</t>
  </si>
  <si>
    <t xml:space="preserve">room 204</t>
  </si>
  <si>
    <t xml:space="preserve">found a grey hoodie in room 204 after the lecture</t>
  </si>
  <si>
    <t xml:space="preserve">919800000004@c.us</t>
  </si>
  <si>
    <t xml:space="preserve">2026-10-26T16:21:12</t>
  </si>
  <si>
    <t xml:space="preserve">id card</t>
  </si>
  <si>
    <t xml:space="preserve">parking</t>
  </si>
  <si>
    <t xml:space="preserve">kisi ka id card mila hai, parking ke paas, DM me</t>
  </si>
  <si>
    <t xml:space="preserve">2026-10-26T17:48:03</t>
  </si>
  <si>
    <t xml:space="preserve">auditorium</t>
  </si>
  <si>
    <t xml:space="preserve">pink hoodie kho gaya auditorium me</t>
  </si>
  <si>
    <t xml:space="preserve">919800000006@c.us</t>
  </si>
  <si>
    <t xml:space="preserve">2026-10-27T08:30:41</t>
  </si>
  <si>
    <t xml:space="preserve">umbrella</t>
  </si>
  <si>
    <t xml:space="preserve">Rack A, Shelf 2</t>
  </si>
  <si>
    <t xml:space="preserve">2026-10-24T10:03:27</t>
  </si>
  <si>
    <t xml:space="preserve">keys</t>
  </si>
  <si>
    <t xml:space="preserve">hostel gate</t>
  </si>
  <si>
    <t xml:space="preserve">keys kho gaye hostel gate ke paas</t>
  </si>
  <si>
    <t xml:space="preserve">919800000007@c.us</t>
  </si>
  <si>
    <t xml:space="preserve">2026-10-27T09:12:58</t>
  </si>
  <si>
    <t xml:space="preserve">calculator</t>
  </si>
  <si>
    <t xml:space="preserve">exam hall 2</t>
  </si>
  <si>
    <t xml:space="preserve">lost my grey casio calculator in exam hall 2</t>
  </si>
  <si>
    <t xml:space="preserve">919800000008@c.us</t>
  </si>
  <si>
    <t xml:space="preserve">2026-10-27T10:20:36</t>
  </si>
  <si>
    <t xml:space="preserve">Dance Club auditions</t>
  </si>
  <si>
    <t xml:space="preserve">dance</t>
  </si>
  <si>
    <t xml:space="preserve">Auditorium</t>
  </si>
  <si>
    <t xml:space="preserve">Dance club auditions this Friday 5pm at the auditorium, register now!</t>
  </si>
  <si>
    <t xml:space="preserve">Dance Club Announcements</t>
  </si>
  <si>
    <t xml:space="preserve">2026-10-25T12:00:10</t>
  </si>
  <si>
    <t xml:space="preserve">Saturday 4 PM</t>
  </si>
  <si>
    <t xml:space="preserve">Inter-hostel football final on Saturday at the main ground, everyone come support</t>
  </si>
  <si>
    <t xml:space="preserve">Open mic night</t>
  </si>
  <si>
    <t xml:space="preserve">music</t>
  </si>
  <si>
    <t xml:space="preserve">Sunday 7 PM</t>
  </si>
  <si>
    <t xml:space="preserve">Amphitheatre</t>
  </si>
  <si>
    <t xml:space="preserve">Open mic night Sunday 7pm at the amphitheatre. Sign up with the music society.</t>
  </si>
  <si>
    <t xml:space="preserve">Music Society</t>
  </si>
  <si>
    <t xml:space="preserve">2026-10-25T18:30:02</t>
  </si>
  <si>
    <t xml:space="preserve">Annual tech fest registrations</t>
  </si>
  <si>
    <t xml:space="preserve">tech</t>
  </si>
  <si>
    <t xml:space="preserve">This week</t>
  </si>
  <si>
    <t xml:space="preserve">Block C</t>
  </si>
  <si>
    <t xml:space="preserve">Annual tech fest registrations are open this week at Block C</t>
  </si>
  <si>
    <t xml:space="preserve">Tech Fest Core</t>
  </si>
  <si>
    <t xml:space="preserve">2026-10-26T09:00:15</t>
  </si>
  <si>
    <t xml:space="preserve">Drama Club recruitment</t>
  </si>
  <si>
    <t xml:space="preserve">theatre</t>
  </si>
  <si>
    <t xml:space="preserve">Monday 4 PM</t>
  </si>
  <si>
    <t xml:space="preserve">Seminar Hall 2</t>
  </si>
  <si>
    <t xml:space="preserve">Drama club recruitment Monday 4pm Seminar Hall 2. Freshers welcome.</t>
  </si>
  <si>
    <t xml:space="preserve">Drama Club</t>
  </si>
  <si>
    <t xml:space="preserve">2026-10-26T10:45:51</t>
  </si>
  <si>
    <t xml:space="preserve">Inter-college debate championship</t>
  </si>
  <si>
    <t xml:space="preserve">culture</t>
  </si>
  <si>
    <t xml:space="preserve">Thursday 10 AM</t>
  </si>
  <si>
    <t xml:space="preserve">Main auditorium</t>
  </si>
  <si>
    <t xml:space="preserve">Inter-college debate championship Thursday 10am, main auditorium. Register by Wednesday.</t>
  </si>
  <si>
    <t xml:space="preserve">Cultural Committee</t>
  </si>
  <si>
    <t xml:space="preserve">2026-10-26T12:20:33</t>
  </si>
  <si>
    <t xml:space="preserve">Placement prep workshop</t>
  </si>
  <si>
    <t xml:space="preserve">academic</t>
  </si>
  <si>
    <t xml:space="preserve">Wednesday 11 AM</t>
  </si>
  <si>
    <t xml:space="preserve">Block A, Room 105</t>
  </si>
  <si>
    <t xml:space="preserve">Placement prep workshop Wednesday 11am Block A room 105</t>
  </si>
  <si>
    <t xml:space="preserve">Training &amp; Placement</t>
  </si>
  <si>
    <t xml:space="preserve">2026-10-26T15:10:09</t>
  </si>
  <si>
    <t xml:space="preserve">Rangmanch cultural night</t>
  </si>
  <si>
    <t xml:space="preserve">14 November 6 PM</t>
  </si>
  <si>
    <t xml:space="preserve">Open-air theatre</t>
  </si>
  <si>
    <t xml:space="preserve">Rangmanch cultural night on 14 November, 6pm at the open-air theatre</t>
  </si>
  <si>
    <t xml:space="preserve">2026-10-26T16:05:27</t>
  </si>
  <si>
    <t xml:space="preserve">Chess club weekly meetup</t>
  </si>
  <si>
    <t xml:space="preserve">other</t>
  </si>
  <si>
    <t xml:space="preserve">Thursday 6 PM</t>
  </si>
  <si>
    <t xml:space="preserve">Common room</t>
  </si>
  <si>
    <t xml:space="preserve">Chess club weekly meetup Thursday 6pm common room, all levels</t>
  </si>
  <si>
    <t xml:space="preserve">Chess Club</t>
  </si>
  <si>
    <t xml:space="preserve">2026-10-27T07:55:40</t>
  </si>
  <si>
    <t xml:space="preserve">Hackathon info session</t>
  </si>
  <si>
    <t xml:space="preserve">Tuesday 3 PM</t>
  </si>
  <si>
    <t xml:space="preserve">Lab 4</t>
  </si>
  <si>
    <t xml:space="preserve">Hackathon info session Tuesday 3pm in Lab 4</t>
  </si>
  <si>
    <t xml:space="preserve">Coding Club</t>
  </si>
  <si>
    <t xml:space="preserve">2026-10-27T09:40:18</t>
  </si>
  <si>
    <t xml:space="preserve">cycle</t>
  </si>
  <si>
    <t xml:space="preserve">study table</t>
  </si>
  <si>
    <t xml:space="preserve">₹800</t>
  </si>
  <si>
    <t xml:space="preserve">study table for sale, 800 rs, hostel pickup</t>
  </si>
  <si>
    <t xml:space="preserve">919800000010@c.us</t>
  </si>
  <si>
    <t xml:space="preserve">2026-10-25T20:22:41</t>
  </si>
  <si>
    <t xml:space="preserve">engineering drawing kit</t>
  </si>
  <si>
    <t xml:space="preserve">₹300</t>
  </si>
  <si>
    <t xml:space="preserve">selling engineering drawing kit, 300 rs</t>
  </si>
  <si>
    <t xml:space="preserve">919800000011@c.us</t>
  </si>
  <si>
    <t xml:space="preserve">2026-10-26T08:14:09</t>
  </si>
  <si>
    <t xml:space="preserve">buy</t>
  </si>
  <si>
    <t xml:space="preserve">anyone selling a cooler? need one for my room</t>
  </si>
  <si>
    <t xml:space="preserve">919800000012@c.us</t>
  </si>
  <si>
    <t xml:space="preserve">2026-10-26T13:33:25</t>
  </si>
  <si>
    <t xml:space="preserve">₹1500</t>
  </si>
  <si>
    <t xml:space="preserve">cooler for sale 1500, works great</t>
  </si>
  <si>
    <t xml:space="preserve">919800000013@c.us</t>
  </si>
  <si>
    <t xml:space="preserve">2026-10-26T18:02:11</t>
  </si>
  <si>
    <t xml:space="preserve">second-hand cycle</t>
  </si>
  <si>
    <t xml:space="preserve">looking to buy a second hand cycle, budget around 1500</t>
  </si>
  <si>
    <t xml:space="preserve">919800000014@c.us</t>
  </si>
  <si>
    <t xml:space="preserve">2026-10-27T09:05:37</t>
  </si>
  <si>
    <t xml:space="preserve">lab coat</t>
  </si>
  <si>
    <t xml:space="preserve">₹250</t>
  </si>
  <si>
    <t xml:space="preserve">lab coat size M, 250 rs, used one semester</t>
  </si>
  <si>
    <t xml:space="preserve">919800000015@c.us</t>
  </si>
  <si>
    <t xml:space="preserve">2026-10-27T10:48:52</t>
  </si>
  <si>
    <t xml:space="preserve">in use</t>
  </si>
  <si>
    <t xml:space="preserve">g3</t>
  </si>
  <si>
    <t xml:space="preserve">3rd floor girls hostel</t>
  </si>
  <si>
    <t xml:space="preserve">2026-10-27T11:20:07</t>
  </si>
  <si>
    <t xml:space="preserve">b2</t>
  </si>
  <si>
    <t xml:space="preserve">2nd floor boys hostel</t>
  </si>
  <si>
    <t xml:space="preserve">2026-10-27T11:19:58</t>
  </si>
  <si>
    <t xml:space="preserve">g5</t>
  </si>
  <si>
    <t xml:space="preserve">5th floor girls hostel</t>
  </si>
  <si>
    <t xml:space="preserve">2026-10-27T11:20:02</t>
  </si>
  <si>
    <t xml:space="preserve">meeting room</t>
  </si>
  <si>
    <t xml:space="preserve">15:00</t>
  </si>
  <si>
    <t xml:space="preserve">16:00</t>
  </si>
  <si>
    <t xml:space="preserve">dance room</t>
  </si>
  <si>
    <t xml:space="preserve">17:30</t>
  </si>
  <si>
    <t xml:space="preserve">19:00</t>
  </si>
  <si>
    <t xml:space="preserve">2026-10-28</t>
  </si>
  <si>
    <t xml:space="preserve">all</t>
  </si>
  <si>
    <t xml:space="preserve">tech,academic</t>
  </si>
  <si>
    <t xml:space="preserve">theatre,culture,music</t>
  </si>
  <si>
    <t xml:space="preserve">sports,tech</t>
  </si>
  <si>
    <t xml:space="preserve">184467440737095@lid</t>
  </si>
  <si>
    <t xml:space="preserve">Good news! Something matching your lost black earbuds turned up: black earbuds. Someone found it near library desk. Reply 'claim 7' and tell me one detail only the owner would know.</t>
  </si>
  <si>
    <t xml:space="preserve">2026-10-26T14:40:56</t>
  </si>
  <si>
    <t xml:space="preserve">New dance update: Dance Club auditions on Friday 5 PM at Auditorium</t>
  </si>
  <si>
    <t xml:space="preserve">2026-10-25T12:00:11</t>
  </si>
  <si>
    <t xml:space="preserve">New sports update: Inter-hostel football final on Saturday 4 PM at Main ground</t>
  </si>
  <si>
    <t xml:space="preserve">2026-10-25T13:15:45</t>
  </si>
  <si>
    <t xml:space="preserve">New tech update: Annual tech fest registrations on This week at Block C</t>
  </si>
  <si>
    <t xml:space="preserve">Someone is selling a cooler for ₹1500. Reply here if you want their contact.</t>
  </si>
  <si>
    <t xml:space="preserve">2026-10-26T18:02:12</t>
  </si>
  <si>
    <t xml:space="preserve">intent  (llm.py INTENTS)</t>
  </si>
  <si>
    <t xml:space="preserve">category  (llm.py CATEGORIES)</t>
  </si>
  <si>
    <t xml:space="preserve">lost_found.kind</t>
  </si>
  <si>
    <t xml:space="preserve">lost_found.source</t>
  </si>
  <si>
    <t xml:space="preserve">lost_found.status</t>
  </si>
  <si>
    <t xml:space="preserve">listings.kind</t>
  </si>
  <si>
    <t xml:space="preserve">listings.status</t>
  </si>
  <si>
    <t xml:space="preserve">machines.status</t>
  </si>
  <si>
    <t xml:space="preserve">students.level</t>
  </si>
  <si>
    <t xml:space="preserve">flag (0/1)</t>
  </si>
  <si>
    <t xml:space="preserve">rooms (suggested)</t>
  </si>
  <si>
    <t xml:space="preserve">sold</t>
  </si>
  <si>
    <t xml:space="preserve">chit_chat</t>
  </si>
  <si>
    <t xml:space="preserve">Edit a list here and every dropdown that uses it updates. Keep these in sync with INTENTS / CATEGORIES in backend/llm.py.</t>
  </si>
  <si>
    <t xml:space="preserve">listings.status 'sold' and extra room names are suggestions: main.py does not set them yet.</t>
  </si>
  <si>
    <t xml:space="preserve">Match check: does an open FOUND item exist for each LOST report?</t>
  </si>
  <si>
    <t xml:space="preserve">Formulas only: edit lost_found, not this sheet. main.py scores word overlap (Jaccard &gt;= 0.4); this sheet approximates it with an exact item-name match, so it is a quick sanity check, not the real matcher.</t>
  </si>
  <si>
    <t xml:space="preserve">Open found items: same item</t>
  </si>
  <si>
    <t xml:space="preserve">…same item + colour</t>
  </si>
  <si>
    <t xml:space="preserve">Verdict</t>
  </si>
  <si>
    <t xml:space="preserve">Change log and change procedure</t>
  </si>
  <si>
    <t xml:space="preserve">Procedure for any column change: (1) tell Avik (main.py) and Hitarth (app) first, (2) edit init_db() in db.py, (3) stop the backend, delete vernier.db, start it again, (4) POST /dev/seed, (5) update the Data_Dictionary and log it here.</t>
  </si>
  <si>
    <t xml:space="preserve">Date</t>
  </si>
  <si>
    <t xml:space="preserve">Change</t>
  </si>
  <si>
    <t xml:space="preserve">Table / column</t>
  </si>
  <si>
    <t xml:space="preserve">Proposed by</t>
  </si>
  <si>
    <t xml:space="preserve">Needs sign-off from</t>
  </si>
  <si>
    <t xml:space="preserve">Workbook created from db.py init_db() and main.py</t>
  </si>
  <si>
    <t xml:space="preserve">all 7 tables</t>
  </si>
  <si>
    <t xml:space="preserve">Done</t>
  </si>
  <si>
    <t xml:space="preserve">Sample rows are fictional; contacts use made-up 9198000000xx ids.</t>
  </si>
  <si>
    <t xml:space="preserve">Photo reference for camera-detected items</t>
  </si>
  <si>
    <t xml:space="preserve">lost_found.photo (TEXT, new)</t>
  </si>
  <si>
    <t xml:space="preserve">Shivam / Arushi</t>
  </si>
  <si>
    <t xml:space="preserve">Avik, Hitarth</t>
  </si>
  <si>
    <t xml:space="preserve">Proposed</t>
  </si>
  <si>
    <t xml:space="preserve">Needed only if the app shows item photos. Raises a privacy review: frame objects, never faces.</t>
  </si>
  <si>
    <t xml:space="preserve">Real date for events</t>
  </si>
  <si>
    <t xml:space="preserve">events.date_iso (TEXT YYYY-MM-DD, new)</t>
  </si>
  <si>
    <t xml:space="preserve">Enables "this weekend" queries and dedupe by date. Keep events.date as the human text.</t>
  </si>
  <si>
    <t xml:space="preserve">Dedupe helper for forwarded event posts</t>
  </si>
  <si>
    <t xml:space="preserve">events (title + date)</t>
  </si>
  <si>
    <t xml:space="preserve">Avik (call before INSERT)</t>
  </si>
  <si>
    <t xml:space="preserve">No schema change; a helper function in db.py.</t>
  </si>
  <si>
    <t xml:space="preserve">Close sold listings</t>
  </si>
  <si>
    <t xml:space="preserve">listings.status = sold</t>
  </si>
  <si>
    <t xml:space="preserve">Avik</t>
  </si>
  <si>
    <t xml:space="preserve">Nothing sets sold yet.</t>
  </si>
  <si>
    <t xml:space="preserve">Store extracted fields only, not raw message text</t>
  </si>
  <si>
    <t xml:space="preserve">lost_found / events / listings .details</t>
  </si>
  <si>
    <t xml:space="preserve">Matches the pitch line "stores extracted facts, not raw chats".</t>
  </si>
  <si>
    <t xml:space="preserve">Mark outbox rows sent after delivery, not at fetch</t>
  </si>
  <si>
    <t xml:space="preserve">outbox.sent</t>
  </si>
  <si>
    <t xml:space="preserve">Avik (bot ack endpoint)</t>
  </si>
  <si>
    <t xml:space="preserve">Today a crash between fetch and send loses the alert.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</si>
</sst>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"/>
    <numFmt numFmtId="167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595959"/>
        <bgColor rgb="FF404040"/>
      </patternFill>
    </fill>
    <fill>
      <patternFill patternType="solid">
        <fgColor rgb="FF262626"/>
        <bgColor rgb="FF404040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F2F2F2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26262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>
          <bgColor rgb="FFD9D9D9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A6A6A6"/>
      <rgbColor rgb="FF993366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C6E0B4"/>
      <rgbColor rgb="FFEDEDED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40404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Lost &amp; found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Dashboard!C7</c:f>
              <c:strCache>
                <c:ptCount val="1"/>
                <c:pt idx="0">
                  <c:v>Lost reports</c:v>
                </c:pt>
              </c:strCache>
            </c:strRef>
          </c:tx>
          <c:spPr>
            <a:solidFill>
              <a:srgbClr val="40404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Dashboard!$B$8:$B$11</c:f>
              <c:strCache>
                <c:ptCount val="4"/>
                <c:pt idx="0">
                  <c:v>open</c:v>
                </c:pt>
                <c:pt idx="1">
                  <c:v>matched</c:v>
                </c:pt>
                <c:pt idx="2">
                  <c:v>claim_pending</c:v>
                </c:pt>
                <c:pt idx="3">
                  <c:v>claimed</c:v>
                </c:pt>
              </c:strCache>
            </c:strRef>
          </c:cat>
          <c:val>
            <c:numRef>
              <c:f>Dashboard!$C$8:$C$11</c:f>
              <c:numCache>
                <c:formatCode>0</c:formatCode>
                <c:ptCount val="4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Dashboard!D7</c:f>
              <c:strCache>
                <c:ptCount val="1"/>
                <c:pt idx="0">
                  <c:v>Found items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Dashboard!$B$8:$B$11</c:f>
              <c:strCache>
                <c:ptCount val="4"/>
                <c:pt idx="0">
                  <c:v>open</c:v>
                </c:pt>
                <c:pt idx="1">
                  <c:v>matched</c:v>
                </c:pt>
                <c:pt idx="2">
                  <c:v>claim_pending</c:v>
                </c:pt>
                <c:pt idx="3">
                  <c:v>claimed</c:v>
                </c:pt>
              </c:strCache>
            </c:strRef>
          </c:cat>
          <c:val>
            <c:numRef>
              <c:f>Dashboard!$D$8:$D$11</c:f>
              <c:numCache>
                <c:formatCode>0</c:formatCode>
                <c:ptCount val="4"/>
                <c:pt idx="0">
                  <c:v>7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3603243"/>
        <c:axId val="4324692"/>
      </c:barChart>
      <c:catAx>
        <c:axId val="36032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4692"/>
        <c:crosses val="autoZero"/>
        <c:auto val="1"/>
        <c:lblAlgn val="ctr"/>
        <c:lblOffset val="100"/>
        <c:noMultiLvlLbl val="0"/>
      </c:catAx>
      <c:valAx>
        <c:axId val="4324692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32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Events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Dashboard!C22</c:f>
              <c:strCache>
                <c:ptCount val="1"/>
                <c:pt idx="0">
                  <c:v>Events</c:v>
                </c:pt>
              </c:strCache>
            </c:strRef>
          </c:tx>
          <c:spPr>
            <a:solidFill>
              <a:srgbClr val="40404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Dashboard!$B$23:$B$30</c:f>
              <c:strCache>
                <c:ptCount val="8"/>
                <c:pt idx="0">
                  <c:v>sports</c:v>
                </c:pt>
                <c:pt idx="1">
                  <c:v>music</c:v>
                </c:pt>
                <c:pt idx="2">
                  <c:v>dance</c:v>
                </c:pt>
                <c:pt idx="3">
                  <c:v>theatre</c:v>
                </c:pt>
                <c:pt idx="4">
                  <c:v>culture</c:v>
                </c:pt>
                <c:pt idx="5">
                  <c:v>tech</c:v>
                </c:pt>
                <c:pt idx="6">
                  <c:v>academic</c:v>
                </c:pt>
                <c:pt idx="7">
                  <c:v>other</c:v>
                </c:pt>
              </c:strCache>
            </c:strRef>
          </c:cat>
          <c:val>
            <c:numRef>
              <c:f>Dashboard!$C$23:$C$30</c:f>
              <c:numCache>
                <c:formatCode>0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ser>
          <c:idx val="1"/>
          <c:order val="1"/>
          <c:tx>
            <c:strRef>
              <c:f>Dashboard!D22</c:f>
              <c:strCache>
                <c:ptCount val="1"/>
                <c:pt idx="0">
                  <c:v>Major events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Dashboard!$B$23:$B$30</c:f>
              <c:strCache>
                <c:ptCount val="8"/>
                <c:pt idx="0">
                  <c:v>sports</c:v>
                </c:pt>
                <c:pt idx="1">
                  <c:v>music</c:v>
                </c:pt>
                <c:pt idx="2">
                  <c:v>dance</c:v>
                </c:pt>
                <c:pt idx="3">
                  <c:v>theatre</c:v>
                </c:pt>
                <c:pt idx="4">
                  <c:v>culture</c:v>
                </c:pt>
                <c:pt idx="5">
                  <c:v>tech</c:v>
                </c:pt>
                <c:pt idx="6">
                  <c:v>academic</c:v>
                </c:pt>
                <c:pt idx="7">
                  <c:v>other</c:v>
                </c:pt>
              </c:strCache>
            </c:strRef>
          </c:cat>
          <c:val>
            <c:numRef>
              <c:f>Dashboard!$D$23:$D$30</c:f>
              <c:numCache>
                <c:formatCode>0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36956521"/>
        <c:axId val="44117843"/>
      </c:barChart>
      <c:catAx>
        <c:axId val="369565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117843"/>
        <c:crosses val="autoZero"/>
        <c:auto val="1"/>
        <c:lblAlgn val="ctr"/>
        <c:lblOffset val="100"/>
        <c:noMultiLvlLbl val="0"/>
      </c:catAx>
      <c:valAx>
        <c:axId val="4411784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9565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101160</xdr:rowOff>
    </xdr:from>
    <xdr:to>
      <xdr:col>15</xdr:col>
      <xdr:colOff>507600</xdr:colOff>
      <xdr:row>18</xdr:row>
      <xdr:rowOff>133560</xdr:rowOff>
    </xdr:to>
    <xdr:graphicFrame>
      <xdr:nvGraphicFramePr>
        <xdr:cNvPr id="0" name="Chart 1"/>
        <xdr:cNvGraphicFramePr/>
      </xdr:nvGraphicFramePr>
      <xdr:xfrm>
        <a:off x="8105760" y="952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20</xdr:row>
      <xdr:rowOff>101160</xdr:rowOff>
    </xdr:from>
    <xdr:to>
      <xdr:col>15</xdr:col>
      <xdr:colOff>507600</xdr:colOff>
      <xdr:row>37</xdr:row>
      <xdr:rowOff>102240</xdr:rowOff>
    </xdr:to>
    <xdr:graphicFrame>
      <xdr:nvGraphicFramePr>
        <xdr:cNvPr id="1" name="Chart 2"/>
        <xdr:cNvGraphicFramePr/>
      </xdr:nvGraphicFramePr>
      <xdr:xfrm>
        <a:off x="8105760" y="4000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62626"/>
    <pageSetUpPr fitToPage="true"/>
  </sheetPr>
  <dimension ref="B2:E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62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3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57.75" hidden="false" customHeight="true" outlineLevel="0" collapsed="false">
      <c r="B5" s="3" t="s">
        <v>2</v>
      </c>
      <c r="C5" s="3"/>
      <c r="D5" s="3"/>
      <c r="E5" s="3"/>
    </row>
    <row r="7" customFormat="false" ht="15" hidden="false" customHeight="false" outlineLevel="0" collapsed="false">
      <c r="B7" s="4" t="s">
        <v>3</v>
      </c>
      <c r="C7" s="5"/>
      <c r="D7" s="5"/>
      <c r="E7" s="5"/>
    </row>
    <row r="8" customFormat="false" ht="15" hidden="false" customHeight="false" outlineLevel="0" collapsed="false">
      <c r="B8" s="6" t="s">
        <v>4</v>
      </c>
      <c r="C8" s="6" t="s">
        <v>5</v>
      </c>
      <c r="D8" s="6" t="s">
        <v>6</v>
      </c>
      <c r="E8" s="6" t="s">
        <v>7</v>
      </c>
    </row>
    <row r="9" customFormat="false" ht="15" hidden="false" customHeight="false" outlineLevel="0" collapsed="false">
      <c r="B9" s="7" t="s">
        <v>8</v>
      </c>
      <c r="C9" s="8" t="s">
        <v>9</v>
      </c>
      <c r="D9" s="9" t="s">
        <v>10</v>
      </c>
      <c r="E9" s="8" t="s">
        <v>11</v>
      </c>
    </row>
    <row r="10" customFormat="false" ht="15" hidden="false" customHeight="false" outlineLevel="0" collapsed="false">
      <c r="B10" s="7" t="s">
        <v>12</v>
      </c>
      <c r="C10" s="8" t="s">
        <v>13</v>
      </c>
      <c r="D10" s="9" t="s">
        <v>10</v>
      </c>
      <c r="E10" s="8" t="s">
        <v>14</v>
      </c>
    </row>
    <row r="11" customFormat="false" ht="15" hidden="false" customHeight="false" outlineLevel="0" collapsed="false">
      <c r="B11" s="7" t="s">
        <v>15</v>
      </c>
      <c r="C11" s="8" t="s">
        <v>16</v>
      </c>
      <c r="D11" s="9" t="s">
        <v>10</v>
      </c>
      <c r="E11" s="8" t="s">
        <v>14</v>
      </c>
    </row>
    <row r="12" customFormat="false" ht="15" hidden="false" customHeight="false" outlineLevel="0" collapsed="false">
      <c r="B12" s="7" t="s">
        <v>17</v>
      </c>
      <c r="C12" s="8" t="s">
        <v>18</v>
      </c>
      <c r="D12" s="9" t="s">
        <v>10</v>
      </c>
      <c r="E12" s="8" t="s">
        <v>14</v>
      </c>
    </row>
    <row r="13" customFormat="false" ht="15" hidden="false" customHeight="false" outlineLevel="0" collapsed="false">
      <c r="B13" s="7" t="s">
        <v>19</v>
      </c>
      <c r="C13" s="8" t="s">
        <v>20</v>
      </c>
      <c r="D13" s="9" t="n">
        <f aca="false">COUNTA(lost_found!$A$2:$A$1000)</f>
        <v>14</v>
      </c>
      <c r="E13" s="8" t="s">
        <v>21</v>
      </c>
    </row>
    <row r="14" customFormat="false" ht="15" hidden="false" customHeight="false" outlineLevel="0" collapsed="false">
      <c r="B14" s="7" t="s">
        <v>22</v>
      </c>
      <c r="C14" s="8" t="s">
        <v>23</v>
      </c>
      <c r="D14" s="9" t="n">
        <f aca="false">COUNTA(events!$A$2:$A$1000)</f>
        <v>10</v>
      </c>
      <c r="E14" s="8" t="s">
        <v>24</v>
      </c>
    </row>
    <row r="15" customFormat="false" ht="15" hidden="false" customHeight="false" outlineLevel="0" collapsed="false">
      <c r="B15" s="7" t="s">
        <v>25</v>
      </c>
      <c r="C15" s="8" t="s">
        <v>26</v>
      </c>
      <c r="D15" s="9" t="n">
        <f aca="false">COUNTA(listings!$A$2:$A$1000)</f>
        <v>7</v>
      </c>
      <c r="E15" s="8" t="s">
        <v>27</v>
      </c>
    </row>
    <row r="16" customFormat="false" ht="15" hidden="false" customHeight="false" outlineLevel="0" collapsed="false">
      <c r="B16" s="7" t="s">
        <v>28</v>
      </c>
      <c r="C16" s="8" t="s">
        <v>29</v>
      </c>
      <c r="D16" s="9" t="n">
        <f aca="false">COUNTA(machines!$A$2:$A$1000)</f>
        <v>4</v>
      </c>
      <c r="E16" s="8" t="s">
        <v>30</v>
      </c>
    </row>
    <row r="17" customFormat="false" ht="15" hidden="false" customHeight="false" outlineLevel="0" collapsed="false">
      <c r="B17" s="7" t="s">
        <v>31</v>
      </c>
      <c r="C17" s="8" t="s">
        <v>32</v>
      </c>
      <c r="D17" s="9" t="n">
        <f aca="false">COUNTA(bookings!$A$2:$A$1000)</f>
        <v>5</v>
      </c>
      <c r="E17" s="8" t="s">
        <v>27</v>
      </c>
    </row>
    <row r="18" customFormat="false" ht="15" hidden="false" customHeight="false" outlineLevel="0" collapsed="false">
      <c r="B18" s="7" t="s">
        <v>33</v>
      </c>
      <c r="C18" s="8" t="s">
        <v>34</v>
      </c>
      <c r="D18" s="9" t="n">
        <f aca="false">COUNTA(students!$A$2:$A$1000)</f>
        <v>6</v>
      </c>
      <c r="E18" s="8" t="s">
        <v>35</v>
      </c>
    </row>
    <row r="19" customFormat="false" ht="15" hidden="false" customHeight="false" outlineLevel="0" collapsed="false">
      <c r="B19" s="7" t="s">
        <v>36</v>
      </c>
      <c r="C19" s="8" t="s">
        <v>37</v>
      </c>
      <c r="D19" s="9" t="n">
        <f aca="false">COUNTA(outbox!$A$2:$A$1000)</f>
        <v>6</v>
      </c>
      <c r="E19" s="8" t="s">
        <v>27</v>
      </c>
    </row>
    <row r="20" customFormat="false" ht="15" hidden="false" customHeight="false" outlineLevel="0" collapsed="false">
      <c r="B20" s="7" t="s">
        <v>38</v>
      </c>
      <c r="C20" s="8" t="s">
        <v>39</v>
      </c>
      <c r="D20" s="9" t="s">
        <v>10</v>
      </c>
      <c r="E20" s="8" t="s">
        <v>11</v>
      </c>
    </row>
    <row r="21" customFormat="false" ht="15" hidden="false" customHeight="false" outlineLevel="0" collapsed="false">
      <c r="B21" s="7" t="s">
        <v>40</v>
      </c>
      <c r="C21" s="8" t="s">
        <v>41</v>
      </c>
      <c r="D21" s="9" t="s">
        <v>10</v>
      </c>
      <c r="E21" s="8" t="s">
        <v>42</v>
      </c>
    </row>
    <row r="22" customFormat="false" ht="15" hidden="false" customHeight="false" outlineLevel="0" collapsed="false">
      <c r="B22" s="7" t="s">
        <v>43</v>
      </c>
      <c r="C22" s="8" t="s">
        <v>44</v>
      </c>
      <c r="D22" s="9" t="s">
        <v>10</v>
      </c>
      <c r="E22" s="8" t="s">
        <v>42</v>
      </c>
    </row>
    <row r="24" customFormat="false" ht="15" hidden="false" customHeight="false" outlineLevel="0" collapsed="false">
      <c r="B24" s="4" t="s">
        <v>45</v>
      </c>
      <c r="C24" s="5"/>
      <c r="D24" s="5"/>
      <c r="E24" s="5"/>
    </row>
    <row r="25" customFormat="false" ht="30" hidden="false" customHeight="true" outlineLevel="0" collapsed="false">
      <c r="B25" s="10" t="s">
        <v>46</v>
      </c>
      <c r="C25" s="3" t="s">
        <v>47</v>
      </c>
      <c r="D25" s="3"/>
      <c r="E25" s="3"/>
    </row>
    <row r="26" customFormat="false" ht="30" hidden="false" customHeight="true" outlineLevel="0" collapsed="false">
      <c r="B26" s="11" t="s">
        <v>48</v>
      </c>
      <c r="C26" s="3" t="s">
        <v>49</v>
      </c>
      <c r="D26" s="3"/>
      <c r="E26" s="3"/>
    </row>
    <row r="27" customFormat="false" ht="30" hidden="false" customHeight="true" outlineLevel="0" collapsed="false">
      <c r="B27" s="12" t="s">
        <v>50</v>
      </c>
      <c r="C27" s="3" t="s">
        <v>51</v>
      </c>
      <c r="D27" s="3"/>
      <c r="E27" s="3"/>
    </row>
    <row r="28" customFormat="false" ht="30" hidden="false" customHeight="true" outlineLevel="0" collapsed="false">
      <c r="B28" s="13" t="s">
        <v>52</v>
      </c>
      <c r="C28" s="3" t="s">
        <v>53</v>
      </c>
      <c r="D28" s="3"/>
      <c r="E28" s="3"/>
    </row>
    <row r="30" customFormat="false" ht="15" hidden="false" customHeight="false" outlineLevel="0" collapsed="false">
      <c r="B30" s="4" t="s">
        <v>54</v>
      </c>
      <c r="C30" s="5"/>
      <c r="D30" s="5"/>
      <c r="E30" s="5"/>
    </row>
    <row r="31" customFormat="false" ht="30" hidden="false" customHeight="true" outlineLevel="0" collapsed="false">
      <c r="B31" s="3" t="s">
        <v>55</v>
      </c>
      <c r="C31" s="3"/>
      <c r="D31" s="3"/>
      <c r="E31" s="3"/>
    </row>
    <row r="32" customFormat="false" ht="30" hidden="false" customHeight="true" outlineLevel="0" collapsed="false">
      <c r="B32" s="3" t="s">
        <v>56</v>
      </c>
      <c r="C32" s="3"/>
      <c r="D32" s="3"/>
      <c r="E32" s="3"/>
    </row>
    <row r="33" customFormat="false" ht="30" hidden="false" customHeight="true" outlineLevel="0" collapsed="false">
      <c r="B33" s="3" t="s">
        <v>57</v>
      </c>
      <c r="C33" s="3"/>
      <c r="D33" s="3"/>
      <c r="E33" s="3"/>
    </row>
    <row r="34" customFormat="false" ht="30" hidden="false" customHeight="true" outlineLevel="0" collapsed="false">
      <c r="B34" s="3" t="s">
        <v>58</v>
      </c>
      <c r="C34" s="3"/>
      <c r="D34" s="3"/>
      <c r="E34" s="3"/>
    </row>
    <row r="35" customFormat="false" ht="30" hidden="false" customHeight="true" outlineLevel="0" collapsed="false">
      <c r="B35" s="3" t="s">
        <v>59</v>
      </c>
      <c r="C35" s="3"/>
      <c r="D35" s="3"/>
      <c r="E35" s="3"/>
    </row>
    <row r="36" customFormat="false" ht="30" hidden="false" customHeight="true" outlineLevel="0" collapsed="false">
      <c r="B36" s="3" t="s">
        <v>60</v>
      </c>
      <c r="C36" s="3"/>
      <c r="D36" s="3"/>
      <c r="E36" s="3"/>
    </row>
    <row r="38" customFormat="false" ht="15" hidden="false" customHeight="false" outlineLevel="0" collapsed="false">
      <c r="B38" s="4" t="s">
        <v>61</v>
      </c>
      <c r="C38" s="5"/>
      <c r="D38" s="5"/>
      <c r="E38" s="5"/>
    </row>
    <row r="39" customFormat="false" ht="15" hidden="false" customHeight="false" outlineLevel="0" collapsed="false">
      <c r="B39" s="14" t="s">
        <v>62</v>
      </c>
      <c r="C39" s="15" t="s">
        <v>63</v>
      </c>
    </row>
    <row r="40" customFormat="false" ht="15" hidden="false" customHeight="false" outlineLevel="0" collapsed="false">
      <c r="B40" s="16" t="s">
        <v>62</v>
      </c>
      <c r="C40" s="15" t="s">
        <v>64</v>
      </c>
    </row>
    <row r="41" customFormat="false" ht="15" hidden="false" customHeight="false" outlineLevel="0" collapsed="false">
      <c r="B41" s="17" t="s">
        <v>62</v>
      </c>
      <c r="C41" s="15" t="s">
        <v>65</v>
      </c>
    </row>
    <row r="42" customFormat="false" ht="15" hidden="false" customHeight="false" outlineLevel="0" collapsed="false">
      <c r="B42" s="18" t="s">
        <v>62</v>
      </c>
      <c r="C42" s="15" t="s">
        <v>66</v>
      </c>
    </row>
    <row r="43" customFormat="false" ht="15" hidden="false" customHeight="false" outlineLevel="0" collapsed="false">
      <c r="B43" s="19" t="s">
        <v>62</v>
      </c>
      <c r="C43" s="15" t="s">
        <v>67</v>
      </c>
    </row>
  </sheetData>
  <mergeCells count="11">
    <mergeCell ref="B5:E5"/>
    <mergeCell ref="C25:E25"/>
    <mergeCell ref="C26:E26"/>
    <mergeCell ref="C27:E27"/>
    <mergeCell ref="C28:E28"/>
    <mergeCell ref="B31:E31"/>
    <mergeCell ref="B32:E32"/>
    <mergeCell ref="B33:E33"/>
    <mergeCell ref="B34:E34"/>
    <mergeCell ref="B35:E35"/>
    <mergeCell ref="B36:E36"/>
  </mergeCells>
  <hyperlinks>
    <hyperlink ref="B9" location="Dashboard!A1" display="Dashboard"/>
    <hyperlink ref="B10" location="Data_Dictionary!A1" display="Data_Dictionary"/>
    <hyperlink ref="B11" location="Intent_Map!A1" display="Intent_Map"/>
    <hyperlink ref="B12" location="SQL_Reference!A1" display="SQL_Reference"/>
    <hyperlink ref="B13" location="lost_found!A1" display="lost_found"/>
    <hyperlink ref="B14" location="events!A1" display="events"/>
    <hyperlink ref="B15" location="listings!A1" display="listings"/>
    <hyperlink ref="B16" location="machines!A1" display="machines"/>
    <hyperlink ref="B17" location="bookings!A1" display="bookings"/>
    <hyperlink ref="B18" location="students!A1" display="students"/>
    <hyperlink ref="B19" location="outbox!A1" display="outbox"/>
    <hyperlink ref="B20" location="Match_Check!A1" display="Match_Check"/>
    <hyperlink ref="B21" location="Lists!A1" display="Lists"/>
    <hyperlink ref="B22" location="Change_Log!A1" display="Change_Lo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62626"/>
    <pageSetUpPr fitToPage="true"/>
  </sheetPr>
  <dimension ref="B1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4" min="3" style="0" width="15"/>
    <col collapsed="false" customWidth="true" hidden="false" outlineLevel="0" max="6" min="5" style="0" width="20"/>
    <col collapsed="false" customWidth="true" hidden="false" outlineLevel="0" max="7" min="7" style="0" width="3"/>
  </cols>
  <sheetData>
    <row r="1" customFormat="false" ht="22.05" hidden="false" customHeight="false" outlineLevel="0" collapsed="false">
      <c r="B1" s="20" t="s">
        <v>68</v>
      </c>
    </row>
    <row r="2" customFormat="false" ht="15" hidden="false" customHeight="false" outlineLevel="0" collapsed="false">
      <c r="B2" s="21" t="s">
        <v>69</v>
      </c>
    </row>
    <row r="4" customFormat="false" ht="15" hidden="false" customHeight="false" outlineLevel="0" collapsed="false">
      <c r="B4" s="22" t="s">
        <v>70</v>
      </c>
      <c r="C4" s="23" t="s">
        <v>71</v>
      </c>
      <c r="D4" s="21" t="s">
        <v>72</v>
      </c>
    </row>
    <row r="6" customFormat="false" ht="15" hidden="false" customHeight="false" outlineLevel="0" collapsed="false">
      <c r="B6" s="4" t="s">
        <v>73</v>
      </c>
      <c r="C6" s="5"/>
      <c r="D6" s="5"/>
      <c r="E6" s="5"/>
      <c r="F6" s="5"/>
    </row>
    <row r="7" customFormat="false" ht="15" hidden="false" customHeight="false" outlineLevel="0" collapsed="false">
      <c r="B7" s="6" t="s">
        <v>74</v>
      </c>
      <c r="C7" s="6" t="s">
        <v>75</v>
      </c>
      <c r="D7" s="6" t="s">
        <v>76</v>
      </c>
      <c r="E7" s="6" t="s">
        <v>77</v>
      </c>
    </row>
    <row r="8" customFormat="false" ht="15" hidden="false" customHeight="false" outlineLevel="0" collapsed="false">
      <c r="B8" s="24" t="s">
        <v>46</v>
      </c>
      <c r="C8" s="25" t="n">
        <f aca="false">COUNTIFS(lost_found!$B$2:$B$1000,"lost",lost_found!$I$2:$I$1000,$B8)</f>
        <v>4</v>
      </c>
      <c r="D8" s="25" t="n">
        <f aca="false">COUNTIFS(lost_found!$B$2:$B$1000,"found",lost_found!$I$2:$I$1000,$B8)</f>
        <v>7</v>
      </c>
      <c r="E8" s="25" t="n">
        <f aca="false">C8+D8</f>
        <v>11</v>
      </c>
    </row>
    <row r="9" customFormat="false" ht="15" hidden="false" customHeight="false" outlineLevel="0" collapsed="false">
      <c r="B9" s="24" t="s">
        <v>48</v>
      </c>
      <c r="C9" s="25" t="n">
        <f aca="false">COUNTIFS(lost_found!$B$2:$B$1000,"lost",lost_found!$I$2:$I$1000,$B9)</f>
        <v>1</v>
      </c>
      <c r="D9" s="25" t="n">
        <f aca="false">COUNTIFS(lost_found!$B$2:$B$1000,"found",lost_found!$I$2:$I$1000,$B9)</f>
        <v>0</v>
      </c>
      <c r="E9" s="25" t="n">
        <f aca="false">C9+D9</f>
        <v>1</v>
      </c>
    </row>
    <row r="10" customFormat="false" ht="15" hidden="false" customHeight="false" outlineLevel="0" collapsed="false">
      <c r="B10" s="24" t="s">
        <v>50</v>
      </c>
      <c r="C10" s="25" t="n">
        <f aca="false">COUNTIFS(lost_found!$B$2:$B$1000,"lost",lost_found!$I$2:$I$1000,$B10)</f>
        <v>0</v>
      </c>
      <c r="D10" s="25" t="n">
        <f aca="false">COUNTIFS(lost_found!$B$2:$B$1000,"found",lost_found!$I$2:$I$1000,$B10)</f>
        <v>1</v>
      </c>
      <c r="E10" s="25" t="n">
        <f aca="false">C10+D10</f>
        <v>1</v>
      </c>
    </row>
    <row r="11" customFormat="false" ht="15" hidden="false" customHeight="false" outlineLevel="0" collapsed="false">
      <c r="B11" s="24" t="s">
        <v>52</v>
      </c>
      <c r="C11" s="25" t="n">
        <f aca="false">COUNTIFS(lost_found!$B$2:$B$1000,"lost",lost_found!$I$2:$I$1000,$B11)</f>
        <v>0</v>
      </c>
      <c r="D11" s="25" t="n">
        <f aca="false">COUNTIFS(lost_found!$B$2:$B$1000,"found",lost_found!$I$2:$I$1000,$B11)</f>
        <v>1</v>
      </c>
      <c r="E11" s="25" t="n">
        <f aca="false">C11+D11</f>
        <v>1</v>
      </c>
    </row>
    <row r="12" customFormat="false" ht="15" hidden="false" customHeight="false" outlineLevel="0" collapsed="false">
      <c r="B12" s="17" t="s">
        <v>77</v>
      </c>
      <c r="C12" s="26" t="n">
        <f aca="false">SUM(C8:C11)</f>
        <v>5</v>
      </c>
      <c r="D12" s="26" t="n">
        <f aca="false">SUM(D8:D11)</f>
        <v>9</v>
      </c>
      <c r="E12" s="26" t="n">
        <f aca="false">SUM(E8:E11)</f>
        <v>14</v>
      </c>
    </row>
    <row r="14" customFormat="false" ht="15" hidden="false" customHeight="true" outlineLevel="0" collapsed="false">
      <c r="B14" s="6" t="s">
        <v>78</v>
      </c>
      <c r="C14" s="6" t="s">
        <v>79</v>
      </c>
      <c r="D14" s="6" t="s">
        <v>80</v>
      </c>
      <c r="E14" s="6"/>
      <c r="F14" s="6"/>
    </row>
    <row r="15" customFormat="false" ht="15" hidden="false" customHeight="false" outlineLevel="0" collapsed="false">
      <c r="B15" s="24" t="s">
        <v>81</v>
      </c>
      <c r="C15" s="25" t="n">
        <f aca="false">COUNTIFS(lost_found!$H$2:$H$1000,"chat")</f>
        <v>8</v>
      </c>
      <c r="D15" s="27" t="s">
        <v>82</v>
      </c>
      <c r="E15" s="27"/>
      <c r="F15" s="27"/>
    </row>
    <row r="16" customFormat="false" ht="15" hidden="false" customHeight="false" outlineLevel="0" collapsed="false">
      <c r="B16" s="24" t="s">
        <v>83</v>
      </c>
      <c r="C16" s="25" t="n">
        <f aca="false">COUNTIFS(lost_found!$H$2:$H$1000,"camera")</f>
        <v>6</v>
      </c>
      <c r="D16" s="27" t="s">
        <v>84</v>
      </c>
      <c r="E16" s="27"/>
      <c r="F16" s="27"/>
    </row>
    <row r="17" customFormat="false" ht="15" hidden="false" customHeight="false" outlineLevel="0" collapsed="false">
      <c r="B17" s="24" t="s">
        <v>85</v>
      </c>
      <c r="C17" s="28" t="n">
        <f aca="false">IF(E12=0,0,C16/E12)</f>
        <v>0.428571428571429</v>
      </c>
      <c r="D17" s="27" t="s">
        <v>86</v>
      </c>
      <c r="E17" s="27"/>
      <c r="F17" s="27"/>
    </row>
    <row r="18" customFormat="false" ht="15" hidden="false" customHeight="false" outlineLevel="0" collapsed="false">
      <c r="B18" s="24" t="s">
        <v>87</v>
      </c>
      <c r="C18" s="28" t="n">
        <f aca="false">IF(C12=0,0,C9/C12)</f>
        <v>0.2</v>
      </c>
      <c r="D18" s="27" t="s">
        <v>88</v>
      </c>
      <c r="E18" s="27"/>
      <c r="F18" s="27"/>
    </row>
    <row r="19" customFormat="false" ht="15" hidden="false" customHeight="false" outlineLevel="0" collapsed="false">
      <c r="B19" s="24" t="s">
        <v>89</v>
      </c>
      <c r="C19" s="25" t="n">
        <f aca="false">D8</f>
        <v>7</v>
      </c>
      <c r="D19" s="27" t="s">
        <v>90</v>
      </c>
      <c r="E19" s="27"/>
      <c r="F19" s="27"/>
    </row>
    <row r="21" customFormat="false" ht="15" hidden="false" customHeight="false" outlineLevel="0" collapsed="false">
      <c r="B21" s="4" t="s">
        <v>91</v>
      </c>
      <c r="C21" s="5"/>
      <c r="D21" s="5"/>
      <c r="E21" s="5"/>
      <c r="F21" s="5"/>
    </row>
    <row r="22" customFormat="false" ht="15" hidden="false" customHeight="false" outlineLevel="0" collapsed="false">
      <c r="B22" s="6" t="s">
        <v>92</v>
      </c>
      <c r="C22" s="6" t="s">
        <v>93</v>
      </c>
      <c r="D22" s="6" t="s">
        <v>94</v>
      </c>
      <c r="E22" s="6" t="s">
        <v>95</v>
      </c>
      <c r="F22" s="6" t="s">
        <v>96</v>
      </c>
    </row>
    <row r="23" customFormat="false" ht="15" hidden="false" customHeight="false" outlineLevel="0" collapsed="false">
      <c r="B23" s="24" t="str">
        <f aca="false">Lists!B2</f>
        <v>sports</v>
      </c>
      <c r="C23" s="25" t="n">
        <f aca="false">COUNTIFS(events!$C$2:$C$1000,$B23)</f>
        <v>1</v>
      </c>
      <c r="D23" s="25" t="n">
        <f aca="false">COUNTIFS(events!$C$2:$C$1000,$B23,events!$G$2:$G$1000,1)</f>
        <v>1</v>
      </c>
      <c r="E23" s="25" t="n">
        <f aca="false">COUNTIFS(students!$B$2:$B$1000,"*"&amp;$B23&amp;"*",students!$C$2:$C$1000,"all")</f>
        <v>1</v>
      </c>
      <c r="F23" s="25" t="n">
        <f aca="false">COUNTIFS(students!$B$2:$B$1000,"*"&amp;$B23&amp;"*",students!$C$2:$C$1000,"major")</f>
        <v>1</v>
      </c>
    </row>
    <row r="24" customFormat="false" ht="15" hidden="false" customHeight="false" outlineLevel="0" collapsed="false">
      <c r="B24" s="24" t="str">
        <f aca="false">Lists!B3</f>
        <v>music</v>
      </c>
      <c r="C24" s="25" t="n">
        <f aca="false">COUNTIFS(events!$C$2:$C$1000,$B24)</f>
        <v>1</v>
      </c>
      <c r="D24" s="25" t="n">
        <f aca="false">COUNTIFS(events!$C$2:$C$1000,$B24,events!$G$2:$G$1000,1)</f>
        <v>0</v>
      </c>
      <c r="E24" s="25" t="n">
        <f aca="false">COUNTIFS(students!$B$2:$B$1000,"*"&amp;$B24&amp;"*",students!$C$2:$C$1000,"all")</f>
        <v>1</v>
      </c>
      <c r="F24" s="25" t="n">
        <f aca="false">COUNTIFS(students!$B$2:$B$1000,"*"&amp;$B24&amp;"*",students!$C$2:$C$1000,"major")</f>
        <v>1</v>
      </c>
    </row>
    <row r="25" customFormat="false" ht="15" hidden="false" customHeight="false" outlineLevel="0" collapsed="false">
      <c r="B25" s="24" t="str">
        <f aca="false">Lists!B4</f>
        <v>dance</v>
      </c>
      <c r="C25" s="25" t="n">
        <f aca="false">COUNTIFS(events!$C$2:$C$1000,$B25)</f>
        <v>1</v>
      </c>
      <c r="D25" s="25" t="n">
        <f aca="false">COUNTIFS(events!$C$2:$C$1000,$B25,events!$G$2:$G$1000,1)</f>
        <v>0</v>
      </c>
      <c r="E25" s="25" t="n">
        <f aca="false">COUNTIFS(students!$B$2:$B$1000,"*"&amp;$B25&amp;"*",students!$C$2:$C$1000,"all")</f>
        <v>2</v>
      </c>
      <c r="F25" s="25" t="n">
        <f aca="false">COUNTIFS(students!$B$2:$B$1000,"*"&amp;$B25&amp;"*",students!$C$2:$C$1000,"major")</f>
        <v>0</v>
      </c>
    </row>
    <row r="26" customFormat="false" ht="15" hidden="false" customHeight="false" outlineLevel="0" collapsed="false">
      <c r="B26" s="24" t="str">
        <f aca="false">Lists!B5</f>
        <v>theatre</v>
      </c>
      <c r="C26" s="25" t="n">
        <f aca="false">COUNTIFS(events!$C$2:$C$1000,$B26)</f>
        <v>1</v>
      </c>
      <c r="D26" s="25" t="n">
        <f aca="false">COUNTIFS(events!$C$2:$C$1000,$B26,events!$G$2:$G$1000,1)</f>
        <v>0</v>
      </c>
      <c r="E26" s="25" t="n">
        <f aca="false">COUNTIFS(students!$B$2:$B$1000,"*"&amp;$B26&amp;"*",students!$C$2:$C$1000,"all")</f>
        <v>0</v>
      </c>
      <c r="F26" s="25" t="n">
        <f aca="false">COUNTIFS(students!$B$2:$B$1000,"*"&amp;$B26&amp;"*",students!$C$2:$C$1000,"major")</f>
        <v>1</v>
      </c>
    </row>
    <row r="27" customFormat="false" ht="15" hidden="false" customHeight="false" outlineLevel="0" collapsed="false">
      <c r="B27" s="24" t="str">
        <f aca="false">Lists!B6</f>
        <v>culture</v>
      </c>
      <c r="C27" s="25" t="n">
        <f aca="false">COUNTIFS(events!$C$2:$C$1000,$B27)</f>
        <v>2</v>
      </c>
      <c r="D27" s="25" t="n">
        <f aca="false">COUNTIFS(events!$C$2:$C$1000,$B27,events!$G$2:$G$1000,1)</f>
        <v>2</v>
      </c>
      <c r="E27" s="25" t="n">
        <f aca="false">COUNTIFS(students!$B$2:$B$1000,"*"&amp;$B27&amp;"*",students!$C$2:$C$1000,"all")</f>
        <v>0</v>
      </c>
      <c r="F27" s="25" t="n">
        <f aca="false">COUNTIFS(students!$B$2:$B$1000,"*"&amp;$B27&amp;"*",students!$C$2:$C$1000,"major")</f>
        <v>1</v>
      </c>
    </row>
    <row r="28" customFormat="false" ht="15" hidden="false" customHeight="false" outlineLevel="0" collapsed="false">
      <c r="B28" s="24" t="str">
        <f aca="false">Lists!B7</f>
        <v>tech</v>
      </c>
      <c r="C28" s="25" t="n">
        <f aca="false">COUNTIFS(events!$C$2:$C$1000,$B28)</f>
        <v>2</v>
      </c>
      <c r="D28" s="25" t="n">
        <f aca="false">COUNTIFS(events!$C$2:$C$1000,$B28,events!$G$2:$G$1000,1)</f>
        <v>1</v>
      </c>
      <c r="E28" s="25" t="n">
        <f aca="false">COUNTIFS(students!$B$2:$B$1000,"*"&amp;$B28&amp;"*",students!$C$2:$C$1000,"all")</f>
        <v>2</v>
      </c>
      <c r="F28" s="25" t="n">
        <f aca="false">COUNTIFS(students!$B$2:$B$1000,"*"&amp;$B28&amp;"*",students!$C$2:$C$1000,"major")</f>
        <v>0</v>
      </c>
    </row>
    <row r="29" customFormat="false" ht="15" hidden="false" customHeight="false" outlineLevel="0" collapsed="false">
      <c r="B29" s="24" t="str">
        <f aca="false">Lists!B8</f>
        <v>academic</v>
      </c>
      <c r="C29" s="25" t="n">
        <f aca="false">COUNTIFS(events!$C$2:$C$1000,$B29)</f>
        <v>1</v>
      </c>
      <c r="D29" s="25" t="n">
        <f aca="false">COUNTIFS(events!$C$2:$C$1000,$B29,events!$G$2:$G$1000,1)</f>
        <v>0</v>
      </c>
      <c r="E29" s="25" t="n">
        <f aca="false">COUNTIFS(students!$B$2:$B$1000,"*"&amp;$B29&amp;"*",students!$C$2:$C$1000,"all")</f>
        <v>1</v>
      </c>
      <c r="F29" s="25" t="n">
        <f aca="false">COUNTIFS(students!$B$2:$B$1000,"*"&amp;$B29&amp;"*",students!$C$2:$C$1000,"major")</f>
        <v>0</v>
      </c>
    </row>
    <row r="30" customFormat="false" ht="15" hidden="false" customHeight="false" outlineLevel="0" collapsed="false">
      <c r="B30" s="24" t="str">
        <f aca="false">Lists!B9</f>
        <v>other</v>
      </c>
      <c r="C30" s="25" t="n">
        <f aca="false">COUNTIFS(events!$C$2:$C$1000,$B30)</f>
        <v>1</v>
      </c>
      <c r="D30" s="25" t="n">
        <f aca="false">COUNTIFS(events!$C$2:$C$1000,$B30,events!$G$2:$G$1000,1)</f>
        <v>0</v>
      </c>
      <c r="E30" s="25" t="n">
        <f aca="false">COUNTIFS(students!$B$2:$B$1000,"*"&amp;$B30&amp;"*",students!$C$2:$C$1000,"all")</f>
        <v>0</v>
      </c>
      <c r="F30" s="25" t="n">
        <f aca="false">COUNTIFS(students!$B$2:$B$1000,"*"&amp;$B30&amp;"*",students!$C$2:$C$1000,"major")</f>
        <v>0</v>
      </c>
    </row>
    <row r="31" customFormat="false" ht="15" hidden="false" customHeight="false" outlineLevel="0" collapsed="false">
      <c r="B31" s="17" t="s">
        <v>77</v>
      </c>
      <c r="C31" s="26" t="n">
        <f aca="false">SUM(C23:C30)</f>
        <v>10</v>
      </c>
      <c r="D31" s="26" t="n">
        <f aca="false">SUM(D23:D30)</f>
        <v>4</v>
      </c>
      <c r="E31" s="26" t="n">
        <f aca="false">SUM(E23:E30)</f>
        <v>7</v>
      </c>
      <c r="F31" s="26" t="n">
        <f aca="false">SUM(F23:F30)</f>
        <v>4</v>
      </c>
    </row>
    <row r="32" customFormat="false" ht="15" hidden="false" customHeight="false" outlineLevel="0" collapsed="false">
      <c r="B32" s="21" t="s">
        <v>97</v>
      </c>
    </row>
    <row r="34" customFormat="false" ht="15" hidden="false" customHeight="false" outlineLevel="0" collapsed="false">
      <c r="B34" s="4" t="s">
        <v>98</v>
      </c>
      <c r="C34" s="5"/>
      <c r="D34" s="5"/>
      <c r="E34" s="5"/>
      <c r="F34" s="5"/>
    </row>
    <row r="35" customFormat="false" ht="15" hidden="false" customHeight="false" outlineLevel="0" collapsed="false">
      <c r="B35" s="6" t="s">
        <v>99</v>
      </c>
      <c r="C35" s="6" t="s">
        <v>79</v>
      </c>
    </row>
    <row r="36" customFormat="false" ht="15" hidden="false" customHeight="false" outlineLevel="0" collapsed="false">
      <c r="B36" s="24" t="s">
        <v>100</v>
      </c>
      <c r="C36" s="25" t="n">
        <f aca="false">COUNTIFS(listings!$B$2:$B$1000,"sell",listings!$G$2:$G$1000,"open")</f>
        <v>5</v>
      </c>
    </row>
    <row r="37" customFormat="false" ht="15" hidden="false" customHeight="false" outlineLevel="0" collapsed="false">
      <c r="B37" s="24" t="s">
        <v>101</v>
      </c>
      <c r="C37" s="25" t="n">
        <f aca="false">COUNTIFS(listings!$B$2:$B$1000,"buy",listings!$G$2:$G$1000,"open")</f>
        <v>2</v>
      </c>
    </row>
    <row r="38" customFormat="false" ht="15" hidden="false" customHeight="false" outlineLevel="0" collapsed="false">
      <c r="B38" s="24" t="s">
        <v>102</v>
      </c>
      <c r="C38" s="25" t="n">
        <f aca="false">COUNTA(listings!$A$2:$A$1000)</f>
        <v>7</v>
      </c>
    </row>
    <row r="40" customFormat="false" ht="15" hidden="false" customHeight="false" outlineLevel="0" collapsed="false">
      <c r="B40" s="4" t="s">
        <v>103</v>
      </c>
      <c r="C40" s="5"/>
      <c r="D40" s="5"/>
      <c r="E40" s="5"/>
      <c r="F40" s="5"/>
    </row>
    <row r="41" customFormat="false" ht="15" hidden="false" customHeight="false" outlineLevel="0" collapsed="false">
      <c r="B41" s="6" t="s">
        <v>99</v>
      </c>
      <c r="C41" s="6" t="s">
        <v>79</v>
      </c>
    </row>
    <row r="42" customFormat="false" ht="15" hidden="false" customHeight="false" outlineLevel="0" collapsed="false">
      <c r="B42" s="24" t="s">
        <v>104</v>
      </c>
      <c r="C42" s="25" t="n">
        <f aca="false">COUNTA(machines!$A$2:$A$1000)</f>
        <v>4</v>
      </c>
    </row>
    <row r="43" customFormat="false" ht="15" hidden="false" customHeight="false" outlineLevel="0" collapsed="false">
      <c r="B43" s="24" t="s">
        <v>105</v>
      </c>
      <c r="C43" s="25" t="n">
        <f aca="false">COUNTIF(machines!$C$2:$C$1000,"in use")</f>
        <v>2</v>
      </c>
    </row>
    <row r="44" customFormat="false" ht="15" hidden="false" customHeight="false" outlineLevel="0" collapsed="false">
      <c r="B44" s="24" t="s">
        <v>106</v>
      </c>
      <c r="C44" s="25" t="n">
        <f aca="false">COUNTIF(machines!$C$2:$C$1000,"free")</f>
        <v>2</v>
      </c>
    </row>
    <row r="45" customFormat="false" ht="15" hidden="false" customHeight="false" outlineLevel="0" collapsed="false">
      <c r="B45" s="24" t="s">
        <v>107</v>
      </c>
      <c r="C45" s="28" t="n">
        <f aca="false">IF(C42=0,0,C43/C42)</f>
        <v>0.5</v>
      </c>
    </row>
    <row r="47" customFormat="false" ht="15" hidden="false" customHeight="false" outlineLevel="0" collapsed="false">
      <c r="B47" s="4" t="s">
        <v>108</v>
      </c>
      <c r="C47" s="5"/>
      <c r="D47" s="5"/>
      <c r="E47" s="5"/>
      <c r="F47" s="5"/>
    </row>
    <row r="48" customFormat="false" ht="23.85" hidden="false" customHeight="false" outlineLevel="0" collapsed="false">
      <c r="B48" s="6" t="s">
        <v>109</v>
      </c>
      <c r="C48" s="6" t="s">
        <v>110</v>
      </c>
    </row>
    <row r="49" customFormat="false" ht="15" hidden="false" customHeight="false" outlineLevel="0" collapsed="false">
      <c r="B49" s="24" t="str">
        <f aca="false">Lists!K2</f>
        <v>music room</v>
      </c>
      <c r="C49" s="25" t="n">
        <f aca="false">SUMPRODUCT((bookings!$B$2:$B$1000=$B49)*(bookings!$C$2:$C$1000=$C$4))</f>
        <v>2</v>
      </c>
    </row>
    <row r="50" customFormat="false" ht="15" hidden="false" customHeight="false" outlineLevel="0" collapsed="false">
      <c r="B50" s="24" t="str">
        <f aca="false">Lists!K3</f>
        <v>dance room</v>
      </c>
      <c r="C50" s="25" t="n">
        <f aca="false">SUMPRODUCT((bookings!$B$2:$B$1000=$B50)*(bookings!$C$2:$C$1000=$C$4))</f>
        <v>1</v>
      </c>
    </row>
    <row r="51" customFormat="false" ht="15" hidden="false" customHeight="false" outlineLevel="0" collapsed="false">
      <c r="B51" s="24" t="str">
        <f aca="false">Lists!K4</f>
        <v>meeting room</v>
      </c>
      <c r="C51" s="25" t="n">
        <f aca="false">SUMPRODUCT((bookings!$B$2:$B$1000=$B51)*(bookings!$C$2:$C$1000=$C$4))</f>
        <v>1</v>
      </c>
    </row>
    <row r="52" customFormat="false" ht="15" hidden="false" customHeight="false" outlineLevel="0" collapsed="false">
      <c r="B52" s="29" t="s">
        <v>111</v>
      </c>
      <c r="C52" s="30" t="n">
        <f aca="false">SUMPRODUCT(--(bookings!$C$2:$C$1000=$C$4))</f>
        <v>4</v>
      </c>
    </row>
    <row r="53" customFormat="false" ht="15" hidden="false" customHeight="false" outlineLevel="0" collapsed="false">
      <c r="B53" s="24" t="s">
        <v>112</v>
      </c>
      <c r="C53" s="25" t="n">
        <f aca="false">COUNTA(bookings!$A$2:$A$1000)</f>
        <v>5</v>
      </c>
    </row>
    <row r="55" customFormat="false" ht="15" hidden="false" customHeight="false" outlineLevel="0" collapsed="false">
      <c r="B55" s="4" t="s">
        <v>113</v>
      </c>
      <c r="C55" s="5"/>
      <c r="D55" s="5"/>
      <c r="E55" s="5"/>
      <c r="F55" s="5"/>
    </row>
    <row r="56" customFormat="false" ht="15" hidden="false" customHeight="false" outlineLevel="0" collapsed="false">
      <c r="B56" s="6" t="s">
        <v>99</v>
      </c>
      <c r="C56" s="6" t="s">
        <v>79</v>
      </c>
    </row>
    <row r="57" customFormat="false" ht="15" hidden="false" customHeight="false" outlineLevel="0" collapsed="false">
      <c r="B57" s="24" t="s">
        <v>114</v>
      </c>
      <c r="C57" s="25" t="n">
        <f aca="false">COUNTA(students!$A$2:$A$1000)</f>
        <v>6</v>
      </c>
    </row>
    <row r="58" customFormat="false" ht="15" hidden="false" customHeight="false" outlineLevel="0" collapsed="false">
      <c r="B58" s="24" t="s">
        <v>115</v>
      </c>
      <c r="C58" s="25" t="n">
        <f aca="false">COUNTIF(students!$C$2:$C$1000,"all")</f>
        <v>4</v>
      </c>
    </row>
    <row r="59" customFormat="false" ht="15" hidden="false" customHeight="false" outlineLevel="0" collapsed="false">
      <c r="B59" s="24" t="s">
        <v>116</v>
      </c>
      <c r="C59" s="25" t="n">
        <f aca="false">COUNTIF(students!$C$2:$C$1000,"major")</f>
        <v>2</v>
      </c>
    </row>
    <row r="60" customFormat="false" ht="15" hidden="false" customHeight="false" outlineLevel="0" collapsed="false">
      <c r="B60" s="24" t="s">
        <v>117</v>
      </c>
      <c r="C60" s="25" t="n">
        <f aca="false">COUNTA(outbox!$A$2:$A$1000)</f>
        <v>6</v>
      </c>
    </row>
    <row r="61" customFormat="false" ht="15" hidden="false" customHeight="false" outlineLevel="0" collapsed="false">
      <c r="B61" s="24" t="s">
        <v>118</v>
      </c>
      <c r="C61" s="25" t="n">
        <f aca="false">COUNTIF(outbox!$D$2:$D$1000,1)</f>
        <v>4</v>
      </c>
    </row>
    <row r="62" customFormat="false" ht="15" hidden="false" customHeight="false" outlineLevel="0" collapsed="false">
      <c r="B62" s="24" t="s">
        <v>119</v>
      </c>
      <c r="C62" s="25" t="n">
        <f aca="false">COUNTIF(outbox!$D$2:$D$1000,0)</f>
        <v>2</v>
      </c>
    </row>
    <row r="63" customFormat="false" ht="15" hidden="false" customHeight="false" outlineLevel="0" collapsed="false">
      <c r="B63" s="24" t="s">
        <v>120</v>
      </c>
      <c r="C63" s="28" t="n">
        <f aca="false">IF(C60=0,0,C62/C60)</f>
        <v>0.333333333333333</v>
      </c>
    </row>
  </sheetData>
  <mergeCells count="6">
    <mergeCell ref="D14:F14"/>
    <mergeCell ref="D15:F15"/>
    <mergeCell ref="D16:F16"/>
    <mergeCell ref="D17:F17"/>
    <mergeCell ref="D18:F18"/>
    <mergeCell ref="D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62626"/>
    <pageSetUpPr fitToPage="tru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6"/>
    <col collapsed="false" customWidth="true" hidden="false" outlineLevel="0" max="5" min="5" style="0" width="11"/>
    <col collapsed="false" customWidth="true" hidden="false" outlineLevel="0" max="7" min="6" style="0" width="38"/>
    <col collapsed="false" customWidth="true" hidden="false" outlineLevel="0" max="8" min="8" style="0" width="36"/>
    <col collapsed="false" customWidth="true" hidden="false" outlineLevel="0" max="9" min="9" style="0" width="30"/>
    <col collapsed="false" customWidth="true" hidden="false" outlineLevel="0" max="10" min="10" style="0" width="60"/>
  </cols>
  <sheetData>
    <row r="1" customFormat="false" ht="19.7" hidden="false" customHeight="false" outlineLevel="0" collapsed="false">
      <c r="A1" s="31" t="s">
        <v>121</v>
      </c>
    </row>
    <row r="2" customFormat="false" ht="15" hidden="false" customHeight="false" outlineLevel="0" collapsed="false">
      <c r="A2" s="21" t="s">
        <v>122</v>
      </c>
    </row>
    <row r="4" customFormat="false" ht="21.75" hidden="false" customHeight="true" outlineLevel="0" collapsed="false">
      <c r="A4" s="6" t="s">
        <v>123</v>
      </c>
      <c r="B4" s="6" t="s">
        <v>124</v>
      </c>
      <c r="C4" s="6" t="s">
        <v>125</v>
      </c>
      <c r="D4" s="6" t="s">
        <v>126</v>
      </c>
      <c r="E4" s="6" t="s">
        <v>127</v>
      </c>
      <c r="F4" s="6" t="s">
        <v>128</v>
      </c>
      <c r="G4" s="6" t="s">
        <v>7</v>
      </c>
      <c r="H4" s="6" t="s">
        <v>129</v>
      </c>
      <c r="I4" s="6" t="s">
        <v>130</v>
      </c>
      <c r="J4" s="6" t="s">
        <v>131</v>
      </c>
    </row>
    <row r="5" customFormat="false" ht="23.85" hidden="false" customHeight="false" outlineLevel="0" collapsed="false">
      <c r="A5" s="32" t="s">
        <v>19</v>
      </c>
      <c r="B5" s="8" t="s">
        <v>132</v>
      </c>
      <c r="C5" s="8" t="s">
        <v>133</v>
      </c>
      <c r="D5" s="8" t="s">
        <v>134</v>
      </c>
      <c r="E5" s="8" t="s">
        <v>135</v>
      </c>
      <c r="F5" s="8" t="s">
        <v>136</v>
      </c>
      <c r="G5" s="8" t="s">
        <v>137</v>
      </c>
      <c r="H5" s="8" t="s">
        <v>138</v>
      </c>
      <c r="I5" s="8" t="s">
        <v>139</v>
      </c>
      <c r="J5" s="8" t="s">
        <v>140</v>
      </c>
    </row>
    <row r="6" customFormat="false" ht="15" hidden="false" customHeight="false" outlineLevel="0" collapsed="false">
      <c r="A6" s="8" t="s">
        <v>19</v>
      </c>
      <c r="B6" s="8" t="s">
        <v>141</v>
      </c>
      <c r="C6" s="8" t="s">
        <v>142</v>
      </c>
      <c r="D6" s="8"/>
      <c r="E6" s="8" t="s">
        <v>143</v>
      </c>
      <c r="F6" s="8" t="s">
        <v>144</v>
      </c>
      <c r="G6" s="8" t="s">
        <v>145</v>
      </c>
      <c r="H6" s="8" t="s">
        <v>146</v>
      </c>
      <c r="I6" s="8" t="s">
        <v>147</v>
      </c>
      <c r="J6" s="8" t="s">
        <v>148</v>
      </c>
    </row>
    <row r="7" customFormat="false" ht="23.85" hidden="false" customHeight="false" outlineLevel="0" collapsed="false">
      <c r="A7" s="8" t="s">
        <v>19</v>
      </c>
      <c r="B7" s="8" t="s">
        <v>149</v>
      </c>
      <c r="C7" s="8" t="s">
        <v>142</v>
      </c>
      <c r="D7" s="8"/>
      <c r="E7" s="8" t="s">
        <v>143</v>
      </c>
      <c r="F7" s="8" t="s">
        <v>150</v>
      </c>
      <c r="G7" s="8" t="s">
        <v>151</v>
      </c>
      <c r="H7" s="8" t="s">
        <v>152</v>
      </c>
      <c r="I7" s="8" t="s">
        <v>153</v>
      </c>
      <c r="J7" s="8" t="s">
        <v>154</v>
      </c>
    </row>
    <row r="8" customFormat="false" ht="15" hidden="false" customHeight="false" outlineLevel="0" collapsed="false">
      <c r="A8" s="8" t="s">
        <v>19</v>
      </c>
      <c r="B8" s="8" t="s">
        <v>155</v>
      </c>
      <c r="C8" s="8" t="s">
        <v>142</v>
      </c>
      <c r="D8" s="8"/>
      <c r="E8" s="8" t="s">
        <v>143</v>
      </c>
      <c r="F8" s="8" t="s">
        <v>156</v>
      </c>
      <c r="G8" s="8" t="s">
        <v>157</v>
      </c>
      <c r="H8" s="8" t="s">
        <v>158</v>
      </c>
      <c r="I8" s="8" t="s">
        <v>159</v>
      </c>
      <c r="J8" s="8" t="s">
        <v>160</v>
      </c>
    </row>
    <row r="9" customFormat="false" ht="23.85" hidden="false" customHeight="false" outlineLevel="0" collapsed="false">
      <c r="A9" s="8" t="s">
        <v>19</v>
      </c>
      <c r="B9" s="8" t="s">
        <v>161</v>
      </c>
      <c r="C9" s="8" t="s">
        <v>142</v>
      </c>
      <c r="D9" s="8"/>
      <c r="E9" s="8" t="s">
        <v>143</v>
      </c>
      <c r="F9" s="8" t="s">
        <v>162</v>
      </c>
      <c r="G9" s="8" t="s">
        <v>163</v>
      </c>
      <c r="H9" s="8" t="s">
        <v>164</v>
      </c>
      <c r="I9" s="8" t="s">
        <v>165</v>
      </c>
      <c r="J9" s="8" t="s">
        <v>166</v>
      </c>
    </row>
    <row r="10" customFormat="false" ht="23.85" hidden="false" customHeight="false" outlineLevel="0" collapsed="false">
      <c r="A10" s="8" t="s">
        <v>19</v>
      </c>
      <c r="B10" s="8" t="s">
        <v>167</v>
      </c>
      <c r="C10" s="8" t="s">
        <v>142</v>
      </c>
      <c r="D10" s="8"/>
      <c r="E10" s="8" t="s">
        <v>143</v>
      </c>
      <c r="F10" s="8" t="s">
        <v>168</v>
      </c>
      <c r="G10" s="8" t="s">
        <v>169</v>
      </c>
      <c r="H10" s="8" t="s">
        <v>170</v>
      </c>
      <c r="I10" s="8" t="s">
        <v>171</v>
      </c>
      <c r="J10" s="8" t="s">
        <v>172</v>
      </c>
    </row>
    <row r="11" customFormat="false" ht="23.85" hidden="false" customHeight="false" outlineLevel="0" collapsed="false">
      <c r="A11" s="8" t="s">
        <v>19</v>
      </c>
      <c r="B11" s="8" t="s">
        <v>173</v>
      </c>
      <c r="C11" s="8" t="s">
        <v>142</v>
      </c>
      <c r="D11" s="8"/>
      <c r="E11" s="8" t="s">
        <v>143</v>
      </c>
      <c r="F11" s="8" t="s">
        <v>174</v>
      </c>
      <c r="G11" s="8" t="s">
        <v>175</v>
      </c>
      <c r="H11" s="8" t="s">
        <v>176</v>
      </c>
      <c r="I11" s="8" t="s">
        <v>177</v>
      </c>
      <c r="J11" s="8" t="s">
        <v>178</v>
      </c>
    </row>
    <row r="12" customFormat="false" ht="15" hidden="false" customHeight="false" outlineLevel="0" collapsed="false">
      <c r="A12" s="8" t="s">
        <v>19</v>
      </c>
      <c r="B12" s="8" t="s">
        <v>179</v>
      </c>
      <c r="C12" s="8" t="s">
        <v>142</v>
      </c>
      <c r="D12" s="8"/>
      <c r="E12" s="8" t="s">
        <v>143</v>
      </c>
      <c r="F12" s="8" t="s">
        <v>180</v>
      </c>
      <c r="G12" s="8" t="s">
        <v>181</v>
      </c>
      <c r="H12" s="8" t="s">
        <v>182</v>
      </c>
      <c r="I12" s="8" t="s">
        <v>183</v>
      </c>
      <c r="J12" s="8" t="s">
        <v>184</v>
      </c>
    </row>
    <row r="13" customFormat="false" ht="35.05" hidden="false" customHeight="false" outlineLevel="0" collapsed="false">
      <c r="A13" s="8" t="s">
        <v>19</v>
      </c>
      <c r="B13" s="8" t="s">
        <v>185</v>
      </c>
      <c r="C13" s="8" t="s">
        <v>142</v>
      </c>
      <c r="D13" s="8"/>
      <c r="E13" s="8" t="s">
        <v>186</v>
      </c>
      <c r="F13" s="8" t="s">
        <v>187</v>
      </c>
      <c r="G13" s="8" t="s">
        <v>188</v>
      </c>
      <c r="H13" s="8" t="s">
        <v>189</v>
      </c>
      <c r="I13" s="8" t="s">
        <v>46</v>
      </c>
      <c r="J13" s="8" t="s">
        <v>190</v>
      </c>
    </row>
    <row r="14" customFormat="false" ht="15" hidden="false" customHeight="false" outlineLevel="0" collapsed="false">
      <c r="A14" s="8" t="s">
        <v>19</v>
      </c>
      <c r="B14" s="8" t="s">
        <v>191</v>
      </c>
      <c r="C14" s="8" t="s">
        <v>142</v>
      </c>
      <c r="D14" s="8"/>
      <c r="E14" s="8" t="s">
        <v>143</v>
      </c>
      <c r="F14" s="8" t="s">
        <v>192</v>
      </c>
      <c r="G14" s="8" t="s">
        <v>193</v>
      </c>
      <c r="H14" s="8" t="s">
        <v>194</v>
      </c>
      <c r="I14" s="8" t="s">
        <v>195</v>
      </c>
      <c r="J14" s="8" t="s">
        <v>196</v>
      </c>
    </row>
    <row r="15" customFormat="false" ht="15" hidden="false" customHeight="false" outlineLevel="0" collapsed="false">
      <c r="A15" s="33" t="s">
        <v>22</v>
      </c>
      <c r="B15" s="34" t="s">
        <v>132</v>
      </c>
      <c r="C15" s="34" t="s">
        <v>133</v>
      </c>
      <c r="D15" s="34" t="s">
        <v>134</v>
      </c>
      <c r="E15" s="34" t="s">
        <v>135</v>
      </c>
      <c r="F15" s="34" t="s">
        <v>136</v>
      </c>
      <c r="G15" s="34" t="s">
        <v>137</v>
      </c>
      <c r="H15" s="34" t="s">
        <v>197</v>
      </c>
      <c r="I15" s="34" t="s">
        <v>198</v>
      </c>
      <c r="J15" s="34"/>
    </row>
    <row r="16" customFormat="false" ht="23.85" hidden="false" customHeight="false" outlineLevel="0" collapsed="false">
      <c r="A16" s="34" t="s">
        <v>22</v>
      </c>
      <c r="B16" s="34" t="s">
        <v>199</v>
      </c>
      <c r="C16" s="34" t="s">
        <v>142</v>
      </c>
      <c r="D16" s="34"/>
      <c r="E16" s="34" t="s">
        <v>143</v>
      </c>
      <c r="F16" s="34" t="s">
        <v>200</v>
      </c>
      <c r="G16" s="34" t="s">
        <v>201</v>
      </c>
      <c r="H16" s="34" t="s">
        <v>202</v>
      </c>
      <c r="I16" s="34" t="s">
        <v>203</v>
      </c>
      <c r="J16" s="34" t="s">
        <v>204</v>
      </c>
    </row>
    <row r="17" customFormat="false" ht="23.85" hidden="false" customHeight="false" outlineLevel="0" collapsed="false">
      <c r="A17" s="34" t="s">
        <v>22</v>
      </c>
      <c r="B17" s="34" t="s">
        <v>205</v>
      </c>
      <c r="C17" s="34" t="s">
        <v>142</v>
      </c>
      <c r="D17" s="34"/>
      <c r="E17" s="34" t="s">
        <v>206</v>
      </c>
      <c r="F17" s="34" t="s">
        <v>207</v>
      </c>
      <c r="G17" s="34" t="s">
        <v>208</v>
      </c>
      <c r="H17" s="34" t="s">
        <v>209</v>
      </c>
      <c r="I17" s="34" t="s">
        <v>210</v>
      </c>
      <c r="J17" s="34" t="s">
        <v>211</v>
      </c>
    </row>
    <row r="18" customFormat="false" ht="23.85" hidden="false" customHeight="false" outlineLevel="0" collapsed="false">
      <c r="A18" s="34" t="s">
        <v>22</v>
      </c>
      <c r="B18" s="34" t="s">
        <v>212</v>
      </c>
      <c r="C18" s="34" t="s">
        <v>142</v>
      </c>
      <c r="D18" s="34"/>
      <c r="E18" s="34" t="s">
        <v>143</v>
      </c>
      <c r="F18" s="34" t="s">
        <v>213</v>
      </c>
      <c r="G18" s="34" t="s">
        <v>214</v>
      </c>
      <c r="H18" s="34" t="s">
        <v>215</v>
      </c>
      <c r="I18" s="34" t="s">
        <v>216</v>
      </c>
      <c r="J18" s="34" t="s">
        <v>217</v>
      </c>
    </row>
    <row r="19" customFormat="false" ht="15" hidden="false" customHeight="false" outlineLevel="0" collapsed="false">
      <c r="A19" s="34" t="s">
        <v>22</v>
      </c>
      <c r="B19" s="34" t="s">
        <v>218</v>
      </c>
      <c r="C19" s="34" t="s">
        <v>142</v>
      </c>
      <c r="D19" s="34"/>
      <c r="E19" s="34" t="s">
        <v>143</v>
      </c>
      <c r="F19" s="34" t="s">
        <v>162</v>
      </c>
      <c r="G19" s="34" t="s">
        <v>214</v>
      </c>
      <c r="H19" s="34" t="s">
        <v>215</v>
      </c>
      <c r="I19" s="34" t="s">
        <v>219</v>
      </c>
      <c r="J19" s="34"/>
    </row>
    <row r="20" customFormat="false" ht="15" hidden="false" customHeight="false" outlineLevel="0" collapsed="false">
      <c r="A20" s="34" t="s">
        <v>22</v>
      </c>
      <c r="B20" s="34" t="s">
        <v>167</v>
      </c>
      <c r="C20" s="34" t="s">
        <v>142</v>
      </c>
      <c r="D20" s="34"/>
      <c r="E20" s="34" t="s">
        <v>143</v>
      </c>
      <c r="F20" s="34" t="s">
        <v>220</v>
      </c>
      <c r="G20" s="34" t="s">
        <v>221</v>
      </c>
      <c r="H20" s="34" t="s">
        <v>170</v>
      </c>
      <c r="I20" s="34" t="s">
        <v>222</v>
      </c>
      <c r="J20" s="34" t="s">
        <v>223</v>
      </c>
    </row>
    <row r="21" customFormat="false" ht="15" hidden="false" customHeight="false" outlineLevel="0" collapsed="false">
      <c r="A21" s="34" t="s">
        <v>22</v>
      </c>
      <c r="B21" s="34" t="s">
        <v>224</v>
      </c>
      <c r="C21" s="34" t="s">
        <v>133</v>
      </c>
      <c r="D21" s="34"/>
      <c r="E21" s="34" t="s">
        <v>143</v>
      </c>
      <c r="F21" s="34" t="s">
        <v>225</v>
      </c>
      <c r="G21" s="34" t="s">
        <v>226</v>
      </c>
      <c r="H21" s="34" t="s">
        <v>227</v>
      </c>
      <c r="I21" s="34" t="s">
        <v>228</v>
      </c>
      <c r="J21" s="34" t="s">
        <v>229</v>
      </c>
    </row>
    <row r="22" customFormat="false" ht="23.85" hidden="false" customHeight="false" outlineLevel="0" collapsed="false">
      <c r="A22" s="34" t="s">
        <v>22</v>
      </c>
      <c r="B22" s="34" t="s">
        <v>179</v>
      </c>
      <c r="C22" s="34" t="s">
        <v>142</v>
      </c>
      <c r="D22" s="34"/>
      <c r="E22" s="34" t="s">
        <v>143</v>
      </c>
      <c r="F22" s="34" t="s">
        <v>230</v>
      </c>
      <c r="G22" s="34" t="s">
        <v>231</v>
      </c>
      <c r="H22" s="34" t="s">
        <v>232</v>
      </c>
      <c r="I22" s="34" t="s">
        <v>233</v>
      </c>
      <c r="J22" s="34" t="s">
        <v>234</v>
      </c>
    </row>
    <row r="23" customFormat="false" ht="15" hidden="false" customHeight="false" outlineLevel="0" collapsed="false">
      <c r="A23" s="34" t="s">
        <v>22</v>
      </c>
      <c r="B23" s="34" t="s">
        <v>191</v>
      </c>
      <c r="C23" s="34" t="s">
        <v>142</v>
      </c>
      <c r="D23" s="34"/>
      <c r="E23" s="34" t="s">
        <v>143</v>
      </c>
      <c r="F23" s="34" t="s">
        <v>235</v>
      </c>
      <c r="G23" s="34" t="s">
        <v>193</v>
      </c>
      <c r="H23" s="34" t="s">
        <v>236</v>
      </c>
      <c r="I23" s="34" t="s">
        <v>237</v>
      </c>
      <c r="J23" s="34"/>
    </row>
    <row r="24" customFormat="false" ht="15" hidden="false" customHeight="false" outlineLevel="0" collapsed="false">
      <c r="A24" s="32" t="s">
        <v>25</v>
      </c>
      <c r="B24" s="8" t="s">
        <v>132</v>
      </c>
      <c r="C24" s="8" t="s">
        <v>133</v>
      </c>
      <c r="D24" s="8" t="s">
        <v>134</v>
      </c>
      <c r="E24" s="8" t="s">
        <v>135</v>
      </c>
      <c r="F24" s="8" t="s">
        <v>136</v>
      </c>
      <c r="G24" s="8" t="s">
        <v>137</v>
      </c>
      <c r="H24" s="8" t="s">
        <v>238</v>
      </c>
      <c r="I24" s="8" t="s">
        <v>239</v>
      </c>
      <c r="J24" s="8"/>
    </row>
    <row r="25" customFormat="false" ht="15" hidden="false" customHeight="false" outlineLevel="0" collapsed="false">
      <c r="A25" s="8" t="s">
        <v>25</v>
      </c>
      <c r="B25" s="8" t="s">
        <v>141</v>
      </c>
      <c r="C25" s="8" t="s">
        <v>142</v>
      </c>
      <c r="D25" s="8"/>
      <c r="E25" s="8" t="s">
        <v>143</v>
      </c>
      <c r="F25" s="8" t="s">
        <v>240</v>
      </c>
      <c r="G25" s="8" t="s">
        <v>241</v>
      </c>
      <c r="H25" s="8" t="s">
        <v>242</v>
      </c>
      <c r="I25" s="8" t="s">
        <v>243</v>
      </c>
      <c r="J25" s="8"/>
    </row>
    <row r="26" customFormat="false" ht="15" hidden="false" customHeight="false" outlineLevel="0" collapsed="false">
      <c r="A26" s="8" t="s">
        <v>25</v>
      </c>
      <c r="B26" s="8" t="s">
        <v>149</v>
      </c>
      <c r="C26" s="8" t="s">
        <v>142</v>
      </c>
      <c r="D26" s="8"/>
      <c r="E26" s="8" t="s">
        <v>143</v>
      </c>
      <c r="F26" s="8" t="s">
        <v>244</v>
      </c>
      <c r="G26" s="8" t="s">
        <v>214</v>
      </c>
      <c r="H26" s="8" t="s">
        <v>245</v>
      </c>
      <c r="I26" s="8" t="s">
        <v>246</v>
      </c>
      <c r="J26" s="8" t="s">
        <v>247</v>
      </c>
    </row>
    <row r="27" customFormat="false" ht="15" hidden="false" customHeight="false" outlineLevel="0" collapsed="false">
      <c r="A27" s="8" t="s">
        <v>25</v>
      </c>
      <c r="B27" s="8" t="s">
        <v>248</v>
      </c>
      <c r="C27" s="8" t="s">
        <v>142</v>
      </c>
      <c r="D27" s="8"/>
      <c r="E27" s="8" t="s">
        <v>143</v>
      </c>
      <c r="F27" s="8" t="s">
        <v>249</v>
      </c>
      <c r="G27" s="8" t="s">
        <v>214</v>
      </c>
      <c r="H27" s="8" t="s">
        <v>250</v>
      </c>
      <c r="I27" s="8" t="s">
        <v>251</v>
      </c>
      <c r="J27" s="8" t="s">
        <v>252</v>
      </c>
    </row>
    <row r="28" customFormat="false" ht="23.85" hidden="false" customHeight="false" outlineLevel="0" collapsed="false">
      <c r="A28" s="8" t="s">
        <v>25</v>
      </c>
      <c r="B28" s="8" t="s">
        <v>167</v>
      </c>
      <c r="C28" s="8" t="s">
        <v>142</v>
      </c>
      <c r="D28" s="8"/>
      <c r="E28" s="8" t="s">
        <v>143</v>
      </c>
      <c r="F28" s="8" t="s">
        <v>253</v>
      </c>
      <c r="G28" s="8" t="s">
        <v>221</v>
      </c>
      <c r="H28" s="8" t="s">
        <v>254</v>
      </c>
      <c r="I28" s="8" t="s">
        <v>255</v>
      </c>
      <c r="J28" s="8" t="s">
        <v>223</v>
      </c>
    </row>
    <row r="29" customFormat="false" ht="15" hidden="false" customHeight="false" outlineLevel="0" collapsed="false">
      <c r="A29" s="8" t="s">
        <v>25</v>
      </c>
      <c r="B29" s="8" t="s">
        <v>173</v>
      </c>
      <c r="C29" s="8" t="s">
        <v>142</v>
      </c>
      <c r="D29" s="8"/>
      <c r="E29" s="8" t="s">
        <v>143</v>
      </c>
      <c r="F29" s="8" t="s">
        <v>256</v>
      </c>
      <c r="G29" s="8" t="s">
        <v>175</v>
      </c>
      <c r="H29" s="8" t="s">
        <v>257</v>
      </c>
      <c r="I29" s="8" t="s">
        <v>258</v>
      </c>
      <c r="J29" s="8" t="s">
        <v>259</v>
      </c>
    </row>
    <row r="30" customFormat="false" ht="23.85" hidden="false" customHeight="false" outlineLevel="0" collapsed="false">
      <c r="A30" s="8" t="s">
        <v>25</v>
      </c>
      <c r="B30" s="8" t="s">
        <v>185</v>
      </c>
      <c r="C30" s="8" t="s">
        <v>142</v>
      </c>
      <c r="D30" s="8"/>
      <c r="E30" s="8" t="s">
        <v>186</v>
      </c>
      <c r="F30" s="8" t="s">
        <v>260</v>
      </c>
      <c r="G30" s="8" t="s">
        <v>261</v>
      </c>
      <c r="H30" s="8" t="s">
        <v>262</v>
      </c>
      <c r="I30" s="8" t="s">
        <v>46</v>
      </c>
      <c r="J30" s="8" t="s">
        <v>263</v>
      </c>
    </row>
    <row r="31" customFormat="false" ht="15" hidden="false" customHeight="false" outlineLevel="0" collapsed="false">
      <c r="A31" s="8" t="s">
        <v>25</v>
      </c>
      <c r="B31" s="8" t="s">
        <v>191</v>
      </c>
      <c r="C31" s="8" t="s">
        <v>142</v>
      </c>
      <c r="D31" s="8"/>
      <c r="E31" s="8" t="s">
        <v>143</v>
      </c>
      <c r="F31" s="8" t="s">
        <v>235</v>
      </c>
      <c r="G31" s="8" t="s">
        <v>193</v>
      </c>
      <c r="H31" s="8" t="s">
        <v>236</v>
      </c>
      <c r="I31" s="8" t="s">
        <v>264</v>
      </c>
      <c r="J31" s="8"/>
    </row>
    <row r="32" customFormat="false" ht="15" hidden="false" customHeight="false" outlineLevel="0" collapsed="false">
      <c r="A32" s="33" t="s">
        <v>28</v>
      </c>
      <c r="B32" s="34" t="s">
        <v>132</v>
      </c>
      <c r="C32" s="34" t="s">
        <v>142</v>
      </c>
      <c r="D32" s="34" t="s">
        <v>134</v>
      </c>
      <c r="E32" s="34" t="s">
        <v>143</v>
      </c>
      <c r="F32" s="34" t="s">
        <v>265</v>
      </c>
      <c r="G32" s="34" t="s">
        <v>266</v>
      </c>
      <c r="H32" s="34" t="s">
        <v>267</v>
      </c>
      <c r="I32" s="34" t="s">
        <v>268</v>
      </c>
      <c r="J32" s="34" t="s">
        <v>269</v>
      </c>
    </row>
    <row r="33" customFormat="false" ht="23.85" hidden="false" customHeight="false" outlineLevel="0" collapsed="false">
      <c r="A33" s="34" t="s">
        <v>28</v>
      </c>
      <c r="B33" s="34" t="s">
        <v>270</v>
      </c>
      <c r="C33" s="34" t="s">
        <v>142</v>
      </c>
      <c r="D33" s="34"/>
      <c r="E33" s="34" t="s">
        <v>143</v>
      </c>
      <c r="F33" s="34" t="s">
        <v>162</v>
      </c>
      <c r="G33" s="34" t="s">
        <v>266</v>
      </c>
      <c r="H33" s="34" t="s">
        <v>271</v>
      </c>
      <c r="I33" s="34" t="s">
        <v>272</v>
      </c>
      <c r="J33" s="34" t="s">
        <v>273</v>
      </c>
    </row>
    <row r="34" customFormat="false" ht="15" hidden="false" customHeight="false" outlineLevel="0" collapsed="false">
      <c r="A34" s="34" t="s">
        <v>28</v>
      </c>
      <c r="B34" s="34" t="s">
        <v>185</v>
      </c>
      <c r="C34" s="34" t="s">
        <v>142</v>
      </c>
      <c r="D34" s="34"/>
      <c r="E34" s="34" t="s">
        <v>143</v>
      </c>
      <c r="F34" s="34" t="s">
        <v>274</v>
      </c>
      <c r="G34" s="34" t="s">
        <v>275</v>
      </c>
      <c r="H34" s="34" t="s">
        <v>276</v>
      </c>
      <c r="I34" s="34" t="s">
        <v>277</v>
      </c>
      <c r="J34" s="34"/>
    </row>
    <row r="35" customFormat="false" ht="15" hidden="false" customHeight="false" outlineLevel="0" collapsed="false">
      <c r="A35" s="34" t="s">
        <v>28</v>
      </c>
      <c r="B35" s="34" t="s">
        <v>278</v>
      </c>
      <c r="C35" s="34" t="s">
        <v>142</v>
      </c>
      <c r="D35" s="34"/>
      <c r="E35" s="34" t="s">
        <v>143</v>
      </c>
      <c r="F35" s="34" t="s">
        <v>235</v>
      </c>
      <c r="G35" s="34" t="s">
        <v>193</v>
      </c>
      <c r="H35" s="34" t="s">
        <v>279</v>
      </c>
      <c r="I35" s="34" t="s">
        <v>280</v>
      </c>
      <c r="J35" s="34" t="s">
        <v>281</v>
      </c>
    </row>
    <row r="36" customFormat="false" ht="15" hidden="false" customHeight="false" outlineLevel="0" collapsed="false">
      <c r="A36" s="32" t="s">
        <v>31</v>
      </c>
      <c r="B36" s="8" t="s">
        <v>132</v>
      </c>
      <c r="C36" s="8" t="s">
        <v>133</v>
      </c>
      <c r="D36" s="8" t="s">
        <v>134</v>
      </c>
      <c r="E36" s="8" t="s">
        <v>135</v>
      </c>
      <c r="F36" s="8" t="s">
        <v>136</v>
      </c>
      <c r="G36" s="8" t="s">
        <v>137</v>
      </c>
      <c r="H36" s="8"/>
      <c r="I36" s="8" t="s">
        <v>282</v>
      </c>
      <c r="J36" s="8"/>
    </row>
    <row r="37" customFormat="false" ht="15" hidden="false" customHeight="false" outlineLevel="0" collapsed="false">
      <c r="A37" s="8" t="s">
        <v>31</v>
      </c>
      <c r="B37" s="8" t="s">
        <v>283</v>
      </c>
      <c r="C37" s="8" t="s">
        <v>142</v>
      </c>
      <c r="D37" s="8"/>
      <c r="E37" s="8" t="s">
        <v>143</v>
      </c>
      <c r="F37" s="8" t="s">
        <v>284</v>
      </c>
      <c r="G37" s="8" t="s">
        <v>285</v>
      </c>
      <c r="H37" s="8" t="s">
        <v>286</v>
      </c>
      <c r="I37" s="8" t="s">
        <v>287</v>
      </c>
      <c r="J37" s="8" t="s">
        <v>288</v>
      </c>
    </row>
    <row r="38" customFormat="false" ht="23.85" hidden="false" customHeight="false" outlineLevel="0" collapsed="false">
      <c r="A38" s="8" t="s">
        <v>31</v>
      </c>
      <c r="B38" s="8" t="s">
        <v>289</v>
      </c>
      <c r="C38" s="8" t="s">
        <v>142</v>
      </c>
      <c r="D38" s="8"/>
      <c r="E38" s="8" t="s">
        <v>143</v>
      </c>
      <c r="F38" s="8" t="s">
        <v>290</v>
      </c>
      <c r="G38" s="8" t="s">
        <v>291</v>
      </c>
      <c r="H38" s="8" t="s">
        <v>292</v>
      </c>
      <c r="I38" s="8" t="s">
        <v>71</v>
      </c>
      <c r="J38" s="8" t="s">
        <v>293</v>
      </c>
    </row>
    <row r="39" customFormat="false" ht="15" hidden="false" customHeight="false" outlineLevel="0" collapsed="false">
      <c r="A39" s="8" t="s">
        <v>31</v>
      </c>
      <c r="B39" s="8" t="s">
        <v>294</v>
      </c>
      <c r="C39" s="8" t="s">
        <v>142</v>
      </c>
      <c r="D39" s="8"/>
      <c r="E39" s="8" t="s">
        <v>143</v>
      </c>
      <c r="F39" s="8" t="s">
        <v>295</v>
      </c>
      <c r="G39" s="8" t="s">
        <v>214</v>
      </c>
      <c r="H39" s="8" t="s">
        <v>296</v>
      </c>
      <c r="I39" s="8" t="s">
        <v>297</v>
      </c>
      <c r="J39" s="8"/>
    </row>
    <row r="40" customFormat="false" ht="23.85" hidden="false" customHeight="false" outlineLevel="0" collapsed="false">
      <c r="A40" s="8" t="s">
        <v>31</v>
      </c>
      <c r="B40" s="8" t="s">
        <v>298</v>
      </c>
      <c r="C40" s="8" t="s">
        <v>142</v>
      </c>
      <c r="D40" s="8"/>
      <c r="E40" s="8" t="s">
        <v>143</v>
      </c>
      <c r="F40" s="8" t="s">
        <v>299</v>
      </c>
      <c r="G40" s="8" t="s">
        <v>300</v>
      </c>
      <c r="H40" s="8" t="s">
        <v>296</v>
      </c>
      <c r="I40" s="8" t="s">
        <v>301</v>
      </c>
      <c r="J40" s="8" t="s">
        <v>302</v>
      </c>
    </row>
    <row r="41" customFormat="false" ht="15" hidden="false" customHeight="false" outlineLevel="0" collapsed="false">
      <c r="A41" s="8" t="s">
        <v>31</v>
      </c>
      <c r="B41" s="8" t="s">
        <v>303</v>
      </c>
      <c r="C41" s="8" t="s">
        <v>142</v>
      </c>
      <c r="D41" s="8"/>
      <c r="E41" s="8" t="s">
        <v>143</v>
      </c>
      <c r="F41" s="8" t="s">
        <v>256</v>
      </c>
      <c r="G41" s="8" t="s">
        <v>175</v>
      </c>
      <c r="H41" s="8" t="s">
        <v>254</v>
      </c>
      <c r="I41" s="8" t="s">
        <v>177</v>
      </c>
      <c r="J41" s="8"/>
    </row>
    <row r="42" customFormat="false" ht="15" hidden="false" customHeight="false" outlineLevel="0" collapsed="false">
      <c r="A42" s="33" t="s">
        <v>33</v>
      </c>
      <c r="B42" s="34" t="s">
        <v>173</v>
      </c>
      <c r="C42" s="34" t="s">
        <v>142</v>
      </c>
      <c r="D42" s="34" t="s">
        <v>134</v>
      </c>
      <c r="E42" s="34" t="s">
        <v>143</v>
      </c>
      <c r="F42" s="34" t="s">
        <v>304</v>
      </c>
      <c r="G42" s="34" t="s">
        <v>305</v>
      </c>
      <c r="H42" s="34" t="s">
        <v>306</v>
      </c>
      <c r="I42" s="34" t="s">
        <v>177</v>
      </c>
      <c r="J42" s="34" t="s">
        <v>307</v>
      </c>
    </row>
    <row r="43" customFormat="false" ht="23.85" hidden="false" customHeight="false" outlineLevel="0" collapsed="false">
      <c r="A43" s="34" t="s">
        <v>33</v>
      </c>
      <c r="B43" s="34" t="s">
        <v>308</v>
      </c>
      <c r="C43" s="34" t="s">
        <v>142</v>
      </c>
      <c r="D43" s="34"/>
      <c r="E43" s="34" t="s">
        <v>143</v>
      </c>
      <c r="F43" s="34" t="s">
        <v>309</v>
      </c>
      <c r="G43" s="34" t="s">
        <v>310</v>
      </c>
      <c r="H43" s="34" t="s">
        <v>306</v>
      </c>
      <c r="I43" s="34" t="s">
        <v>311</v>
      </c>
      <c r="J43" s="34" t="s">
        <v>312</v>
      </c>
    </row>
    <row r="44" customFormat="false" ht="15" hidden="false" customHeight="false" outlineLevel="0" collapsed="false">
      <c r="A44" s="34" t="s">
        <v>33</v>
      </c>
      <c r="B44" s="34" t="s">
        <v>313</v>
      </c>
      <c r="C44" s="34" t="s">
        <v>142</v>
      </c>
      <c r="D44" s="34"/>
      <c r="E44" s="34" t="s">
        <v>143</v>
      </c>
      <c r="F44" s="34" t="s">
        <v>314</v>
      </c>
      <c r="G44" s="34" t="s">
        <v>310</v>
      </c>
      <c r="H44" s="34" t="s">
        <v>306</v>
      </c>
      <c r="I44" s="34" t="s">
        <v>224</v>
      </c>
      <c r="J44" s="34" t="s">
        <v>315</v>
      </c>
    </row>
    <row r="45" customFormat="false" ht="15" hidden="false" customHeight="false" outlineLevel="0" collapsed="false">
      <c r="A45" s="32" t="s">
        <v>36</v>
      </c>
      <c r="B45" s="8" t="s">
        <v>132</v>
      </c>
      <c r="C45" s="8" t="s">
        <v>133</v>
      </c>
      <c r="D45" s="8" t="s">
        <v>134</v>
      </c>
      <c r="E45" s="8" t="s">
        <v>135</v>
      </c>
      <c r="F45" s="8" t="s">
        <v>136</v>
      </c>
      <c r="G45" s="8" t="s">
        <v>137</v>
      </c>
      <c r="H45" s="8" t="s">
        <v>316</v>
      </c>
      <c r="I45" s="8" t="s">
        <v>239</v>
      </c>
      <c r="J45" s="8"/>
    </row>
    <row r="46" customFormat="false" ht="15" hidden="false" customHeight="false" outlineLevel="0" collapsed="false">
      <c r="A46" s="8" t="s">
        <v>36</v>
      </c>
      <c r="B46" s="8" t="s">
        <v>317</v>
      </c>
      <c r="C46" s="8" t="s">
        <v>142</v>
      </c>
      <c r="D46" s="8"/>
      <c r="E46" s="8" t="s">
        <v>143</v>
      </c>
      <c r="F46" s="8" t="s">
        <v>256</v>
      </c>
      <c r="G46" s="8" t="s">
        <v>318</v>
      </c>
      <c r="H46" s="8" t="s">
        <v>319</v>
      </c>
      <c r="I46" s="8" t="s">
        <v>320</v>
      </c>
      <c r="J46" s="8" t="s">
        <v>321</v>
      </c>
    </row>
    <row r="47" customFormat="false" ht="15" hidden="false" customHeight="false" outlineLevel="0" collapsed="false">
      <c r="A47" s="8" t="s">
        <v>36</v>
      </c>
      <c r="B47" s="8" t="s">
        <v>322</v>
      </c>
      <c r="C47" s="8" t="s">
        <v>142</v>
      </c>
      <c r="D47" s="8"/>
      <c r="E47" s="8" t="s">
        <v>143</v>
      </c>
      <c r="F47" s="8" t="s">
        <v>323</v>
      </c>
      <c r="G47" s="8" t="s">
        <v>318</v>
      </c>
      <c r="H47" s="8" t="s">
        <v>319</v>
      </c>
      <c r="I47" s="8" t="s">
        <v>324</v>
      </c>
      <c r="J47" s="8"/>
    </row>
    <row r="48" customFormat="false" ht="23.85" hidden="false" customHeight="false" outlineLevel="0" collapsed="false">
      <c r="A48" s="8" t="s">
        <v>36</v>
      </c>
      <c r="B48" s="8" t="s">
        <v>325</v>
      </c>
      <c r="C48" s="8" t="s">
        <v>133</v>
      </c>
      <c r="D48" s="8"/>
      <c r="E48" s="8" t="s">
        <v>326</v>
      </c>
      <c r="F48" s="8" t="s">
        <v>225</v>
      </c>
      <c r="G48" s="8" t="s">
        <v>327</v>
      </c>
      <c r="H48" s="8" t="s">
        <v>328</v>
      </c>
      <c r="I48" s="8" t="s">
        <v>326</v>
      </c>
      <c r="J48" s="8" t="s">
        <v>329</v>
      </c>
    </row>
    <row r="49" customFormat="false" ht="15" hidden="false" customHeight="false" outlineLevel="0" collapsed="false">
      <c r="A49" s="8" t="s">
        <v>36</v>
      </c>
      <c r="B49" s="8" t="s">
        <v>191</v>
      </c>
      <c r="C49" s="8" t="s">
        <v>142</v>
      </c>
      <c r="D49" s="8"/>
      <c r="E49" s="8" t="s">
        <v>143</v>
      </c>
      <c r="F49" s="8" t="s">
        <v>235</v>
      </c>
      <c r="G49" s="8" t="s">
        <v>193</v>
      </c>
      <c r="H49" s="8"/>
      <c r="I49" s="8" t="s">
        <v>330</v>
      </c>
      <c r="J49" s="8"/>
    </row>
  </sheetData>
  <autoFilter ref="A4:J4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62626"/>
    <pageSetUpPr fitToPage="tru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6" min="6" style="0" width="52"/>
  </cols>
  <sheetData>
    <row r="1" customFormat="false" ht="19.7" hidden="false" customHeight="false" outlineLevel="0" collapsed="false">
      <c r="A1" s="31" t="s">
        <v>331</v>
      </c>
    </row>
    <row r="2" customFormat="false" ht="15" hidden="false" customHeight="false" outlineLevel="0" collapsed="false">
      <c r="A2" s="21" t="s">
        <v>332</v>
      </c>
    </row>
    <row r="4" customFormat="false" ht="15" hidden="false" customHeight="false" outlineLevel="0" collapsed="false">
      <c r="A4" s="6" t="s">
        <v>333</v>
      </c>
      <c r="B4" s="6" t="s">
        <v>334</v>
      </c>
      <c r="C4" s="6" t="s">
        <v>335</v>
      </c>
      <c r="D4" s="6" t="s">
        <v>336</v>
      </c>
      <c r="E4" s="6" t="s">
        <v>337</v>
      </c>
      <c r="F4" s="6" t="s">
        <v>338</v>
      </c>
    </row>
    <row r="5" customFormat="false" ht="23.85" hidden="false" customHeight="false" outlineLevel="0" collapsed="false">
      <c r="A5" s="32" t="s">
        <v>339</v>
      </c>
      <c r="B5" s="8" t="s">
        <v>340</v>
      </c>
      <c r="C5" s="8" t="s">
        <v>341</v>
      </c>
      <c r="D5" s="8" t="s">
        <v>342</v>
      </c>
      <c r="E5" s="8" t="s">
        <v>343</v>
      </c>
      <c r="F5" s="8" t="s">
        <v>344</v>
      </c>
    </row>
    <row r="6" customFormat="false" ht="23.85" hidden="false" customHeight="false" outlineLevel="0" collapsed="false">
      <c r="A6" s="33" t="s">
        <v>345</v>
      </c>
      <c r="B6" s="34" t="s">
        <v>346</v>
      </c>
      <c r="C6" s="34" t="s">
        <v>341</v>
      </c>
      <c r="D6" s="34" t="s">
        <v>347</v>
      </c>
      <c r="E6" s="34" t="s">
        <v>348</v>
      </c>
      <c r="F6" s="34" t="s">
        <v>349</v>
      </c>
    </row>
    <row r="7" customFormat="false" ht="23.85" hidden="false" customHeight="false" outlineLevel="0" collapsed="false">
      <c r="A7" s="32" t="s">
        <v>350</v>
      </c>
      <c r="B7" s="8" t="s">
        <v>351</v>
      </c>
      <c r="C7" s="8" t="s">
        <v>352</v>
      </c>
      <c r="D7" s="8" t="s">
        <v>353</v>
      </c>
      <c r="E7" s="8" t="s">
        <v>33</v>
      </c>
      <c r="F7" s="8" t="s">
        <v>354</v>
      </c>
    </row>
    <row r="8" customFormat="false" ht="23.85" hidden="false" customHeight="false" outlineLevel="0" collapsed="false">
      <c r="A8" s="33" t="s">
        <v>355</v>
      </c>
      <c r="B8" s="34" t="s">
        <v>356</v>
      </c>
      <c r="C8" s="34" t="s">
        <v>357</v>
      </c>
      <c r="D8" s="34" t="s">
        <v>358</v>
      </c>
      <c r="E8" s="34" t="s">
        <v>359</v>
      </c>
      <c r="F8" s="34" t="s">
        <v>360</v>
      </c>
    </row>
    <row r="9" customFormat="false" ht="15" hidden="false" customHeight="false" outlineLevel="0" collapsed="false">
      <c r="A9" s="32" t="s">
        <v>361</v>
      </c>
      <c r="B9" s="8" t="s">
        <v>362</v>
      </c>
      <c r="C9" s="8" t="s">
        <v>149</v>
      </c>
      <c r="D9" s="8" t="s">
        <v>363</v>
      </c>
      <c r="E9" s="8" t="s">
        <v>364</v>
      </c>
      <c r="F9" s="8" t="s">
        <v>365</v>
      </c>
    </row>
    <row r="10" customFormat="false" ht="23.85" hidden="false" customHeight="false" outlineLevel="0" collapsed="false">
      <c r="A10" s="33" t="s">
        <v>366</v>
      </c>
      <c r="B10" s="34" t="s">
        <v>367</v>
      </c>
      <c r="C10" s="34" t="s">
        <v>143</v>
      </c>
      <c r="D10" s="34" t="s">
        <v>368</v>
      </c>
      <c r="E10" s="34" t="s">
        <v>369</v>
      </c>
      <c r="F10" s="34" t="s">
        <v>370</v>
      </c>
    </row>
    <row r="11" customFormat="false" ht="15" hidden="false" customHeight="false" outlineLevel="0" collapsed="false">
      <c r="A11" s="32" t="s">
        <v>371</v>
      </c>
      <c r="B11" s="8" t="s">
        <v>372</v>
      </c>
      <c r="C11" s="8" t="s">
        <v>143</v>
      </c>
      <c r="D11" s="8" t="s">
        <v>368</v>
      </c>
      <c r="E11" s="8" t="s">
        <v>373</v>
      </c>
      <c r="F11" s="8" t="s">
        <v>374</v>
      </c>
    </row>
    <row r="12" customFormat="false" ht="15" hidden="false" customHeight="false" outlineLevel="0" collapsed="false">
      <c r="A12" s="33" t="s">
        <v>375</v>
      </c>
      <c r="B12" s="34" t="s">
        <v>376</v>
      </c>
      <c r="C12" s="34" t="s">
        <v>143</v>
      </c>
      <c r="D12" s="34" t="s">
        <v>368</v>
      </c>
      <c r="E12" s="34" t="s">
        <v>377</v>
      </c>
      <c r="F12" s="34" t="s">
        <v>374</v>
      </c>
    </row>
    <row r="13" customFormat="false" ht="15" hidden="false" customHeight="false" outlineLevel="0" collapsed="false">
      <c r="A13" s="32" t="s">
        <v>378</v>
      </c>
      <c r="B13" s="8" t="s">
        <v>379</v>
      </c>
      <c r="C13" s="8" t="s">
        <v>283</v>
      </c>
      <c r="D13" s="8" t="s">
        <v>368</v>
      </c>
      <c r="E13" s="8" t="s">
        <v>380</v>
      </c>
      <c r="F13" s="8" t="s">
        <v>381</v>
      </c>
    </row>
    <row r="14" customFormat="false" ht="15" hidden="false" customHeight="false" outlineLevel="0" collapsed="false">
      <c r="A14" s="33" t="s">
        <v>382</v>
      </c>
      <c r="B14" s="34" t="s">
        <v>383</v>
      </c>
      <c r="C14" s="34" t="s">
        <v>384</v>
      </c>
      <c r="D14" s="34" t="s">
        <v>385</v>
      </c>
      <c r="E14" s="34" t="s">
        <v>31</v>
      </c>
      <c r="F14" s="34" t="s">
        <v>386</v>
      </c>
    </row>
    <row r="15" customFormat="false" ht="15" hidden="false" customHeight="false" outlineLevel="0" collapsed="false">
      <c r="A15" s="32" t="s">
        <v>267</v>
      </c>
      <c r="B15" s="8" t="s">
        <v>387</v>
      </c>
      <c r="C15" s="8" t="s">
        <v>388</v>
      </c>
      <c r="D15" s="8" t="s">
        <v>368</v>
      </c>
      <c r="E15" s="8" t="s">
        <v>28</v>
      </c>
      <c r="F15" s="8" t="s">
        <v>389</v>
      </c>
    </row>
    <row r="16" customFormat="false" ht="15" hidden="false" customHeight="false" outlineLevel="0" collapsed="false">
      <c r="A16" s="33" t="s">
        <v>390</v>
      </c>
      <c r="B16" s="34" t="s">
        <v>391</v>
      </c>
      <c r="C16" s="34" t="s">
        <v>143</v>
      </c>
      <c r="D16" s="34" t="s">
        <v>368</v>
      </c>
      <c r="E16" s="34" t="s">
        <v>368</v>
      </c>
      <c r="F16" s="34" t="s">
        <v>392</v>
      </c>
    </row>
    <row r="17" customFormat="false" ht="15" hidden="false" customHeight="false" outlineLevel="0" collapsed="false">
      <c r="A17" s="32" t="s">
        <v>393</v>
      </c>
      <c r="B17" s="8" t="s">
        <v>394</v>
      </c>
      <c r="C17" s="8" t="s">
        <v>143</v>
      </c>
      <c r="D17" s="8" t="s">
        <v>368</v>
      </c>
      <c r="E17" s="8" t="s">
        <v>368</v>
      </c>
      <c r="F17" s="8" t="s">
        <v>395</v>
      </c>
    </row>
    <row r="18" customFormat="false" ht="15" hidden="false" customHeight="false" outlineLevel="0" collapsed="false">
      <c r="A18" s="33" t="s">
        <v>396</v>
      </c>
      <c r="B18" s="34" t="s">
        <v>397</v>
      </c>
      <c r="C18" s="34" t="s">
        <v>398</v>
      </c>
      <c r="D18" s="34" t="s">
        <v>399</v>
      </c>
      <c r="E18" s="34" t="s">
        <v>368</v>
      </c>
      <c r="F18" s="34" t="s">
        <v>400</v>
      </c>
    </row>
    <row r="19" customFormat="false" ht="15" hidden="false" customHeight="false" outlineLevel="0" collapsed="false">
      <c r="A19" s="32" t="s">
        <v>401</v>
      </c>
      <c r="B19" s="8" t="s">
        <v>402</v>
      </c>
      <c r="C19" s="8" t="s">
        <v>403</v>
      </c>
      <c r="D19" s="8" t="s">
        <v>404</v>
      </c>
      <c r="E19" s="8" t="s">
        <v>368</v>
      </c>
      <c r="F19" s="8" t="s">
        <v>405</v>
      </c>
    </row>
    <row r="20" customFormat="false" ht="23.85" hidden="false" customHeight="false" outlineLevel="0" collapsed="false">
      <c r="A20" s="33" t="s">
        <v>406</v>
      </c>
      <c r="B20" s="34" t="s">
        <v>407</v>
      </c>
      <c r="C20" s="34" t="s">
        <v>143</v>
      </c>
      <c r="D20" s="34" t="s">
        <v>368</v>
      </c>
      <c r="E20" s="34" t="s">
        <v>368</v>
      </c>
      <c r="F20" s="34" t="s">
        <v>408</v>
      </c>
    </row>
    <row r="22" customFormat="false" ht="15" hidden="false" customHeight="false" outlineLevel="0" collapsed="false">
      <c r="A22" s="35" t="s">
        <v>409</v>
      </c>
    </row>
    <row r="23" customFormat="false" ht="15" hidden="false" customHeight="false" outlineLevel="0" collapsed="false">
      <c r="A23" s="6" t="s">
        <v>410</v>
      </c>
      <c r="B23" s="6" t="s">
        <v>411</v>
      </c>
      <c r="C23" s="6" t="s">
        <v>412</v>
      </c>
      <c r="D23" s="6" t="s">
        <v>336</v>
      </c>
      <c r="E23" s="6" t="s">
        <v>337</v>
      </c>
      <c r="F23" s="6" t="s">
        <v>131</v>
      </c>
    </row>
    <row r="24" customFormat="false" ht="23.85" hidden="false" customHeight="false" outlineLevel="0" collapsed="false">
      <c r="A24" s="33" t="s">
        <v>413</v>
      </c>
      <c r="B24" s="34" t="s">
        <v>414</v>
      </c>
      <c r="C24" s="34" t="s">
        <v>415</v>
      </c>
      <c r="D24" s="34" t="s">
        <v>416</v>
      </c>
      <c r="E24" s="34" t="s">
        <v>19</v>
      </c>
      <c r="F24" s="34" t="s">
        <v>417</v>
      </c>
    </row>
    <row r="25" customFormat="false" ht="35.05" hidden="false" customHeight="false" outlineLevel="0" collapsed="false">
      <c r="A25" s="32" t="s">
        <v>418</v>
      </c>
      <c r="B25" s="8" t="s">
        <v>414</v>
      </c>
      <c r="C25" s="8" t="s">
        <v>419</v>
      </c>
      <c r="D25" s="8" t="s">
        <v>420</v>
      </c>
      <c r="E25" s="8" t="s">
        <v>368</v>
      </c>
      <c r="F25" s="8" t="s">
        <v>421</v>
      </c>
    </row>
    <row r="26" customFormat="false" ht="15" hidden="false" customHeight="false" outlineLevel="0" collapsed="false">
      <c r="A26" s="33" t="s">
        <v>266</v>
      </c>
      <c r="B26" s="34" t="s">
        <v>30</v>
      </c>
      <c r="C26" s="34" t="s">
        <v>422</v>
      </c>
      <c r="D26" s="34" t="s">
        <v>423</v>
      </c>
      <c r="E26" s="34" t="s">
        <v>368</v>
      </c>
      <c r="F26" s="34" t="s">
        <v>424</v>
      </c>
    </row>
    <row r="27" customFormat="false" ht="15" hidden="false" customHeight="false" outlineLevel="0" collapsed="false">
      <c r="A27" s="32" t="s">
        <v>425</v>
      </c>
      <c r="B27" s="8" t="s">
        <v>426</v>
      </c>
      <c r="C27" s="8" t="s">
        <v>427</v>
      </c>
      <c r="D27" s="8" t="s">
        <v>399</v>
      </c>
      <c r="E27" s="8" t="s">
        <v>368</v>
      </c>
      <c r="F27" s="8" t="s">
        <v>428</v>
      </c>
    </row>
    <row r="28" customFormat="false" ht="15" hidden="false" customHeight="false" outlineLevel="0" collapsed="false">
      <c r="A28" s="33" t="s">
        <v>429</v>
      </c>
      <c r="B28" s="34" t="s">
        <v>430</v>
      </c>
      <c r="C28" s="34" t="s">
        <v>143</v>
      </c>
      <c r="D28" s="34" t="s">
        <v>431</v>
      </c>
      <c r="E28" s="34" t="s">
        <v>432</v>
      </c>
      <c r="F28" s="34" t="s">
        <v>433</v>
      </c>
    </row>
    <row r="29" customFormat="false" ht="15" hidden="false" customHeight="false" outlineLevel="0" collapsed="false">
      <c r="A29" s="32" t="s">
        <v>434</v>
      </c>
      <c r="B29" s="8" t="s">
        <v>426</v>
      </c>
      <c r="C29" s="8" t="s">
        <v>435</v>
      </c>
      <c r="D29" s="8" t="s">
        <v>368</v>
      </c>
      <c r="E29" s="8" t="s">
        <v>436</v>
      </c>
      <c r="F29" s="8" t="s">
        <v>437</v>
      </c>
    </row>
    <row r="30" customFormat="false" ht="15" hidden="false" customHeight="false" outlineLevel="0" collapsed="false">
      <c r="A30" s="33" t="s">
        <v>438</v>
      </c>
      <c r="B30" s="34" t="s">
        <v>439</v>
      </c>
      <c r="C30" s="34" t="s">
        <v>143</v>
      </c>
      <c r="D30" s="34" t="s">
        <v>440</v>
      </c>
      <c r="E30" s="34" t="s">
        <v>368</v>
      </c>
      <c r="F30" s="34" t="s">
        <v>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62626"/>
    <pageSetUpPr fitToPage="tru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00"/>
  </cols>
  <sheetData>
    <row r="1" customFormat="false" ht="19.7" hidden="false" customHeight="false" outlineLevel="0" collapsed="false">
      <c r="A1" s="31" t="s">
        <v>442</v>
      </c>
    </row>
    <row r="2" customFormat="false" ht="15" hidden="false" customHeight="false" outlineLevel="0" collapsed="false">
      <c r="A2" s="21" t="s">
        <v>443</v>
      </c>
    </row>
    <row r="4" customFormat="false" ht="15" hidden="false" customHeight="false" outlineLevel="0" collapsed="false">
      <c r="A4" s="6" t="s">
        <v>123</v>
      </c>
      <c r="B4" s="6" t="s">
        <v>444</v>
      </c>
      <c r="C4" s="6" t="s">
        <v>445</v>
      </c>
    </row>
    <row r="5" customFormat="false" ht="15" hidden="false" customHeight="false" outlineLevel="0" collapsed="false">
      <c r="A5" s="4" t="s">
        <v>446</v>
      </c>
      <c r="B5" s="5"/>
      <c r="C5" s="5"/>
    </row>
    <row r="6" customFormat="false" ht="69.75" hidden="false" customHeight="true" outlineLevel="0" collapsed="false">
      <c r="A6" s="32" t="s">
        <v>19</v>
      </c>
      <c r="B6" s="8" t="s">
        <v>447</v>
      </c>
      <c r="C6" s="8" t="s">
        <v>448</v>
      </c>
    </row>
    <row r="7" customFormat="false" ht="55.5" hidden="false" customHeight="true" outlineLevel="0" collapsed="false">
      <c r="A7" s="32" t="s">
        <v>22</v>
      </c>
      <c r="B7" s="8" t="s">
        <v>447</v>
      </c>
      <c r="C7" s="8" t="s">
        <v>449</v>
      </c>
    </row>
    <row r="8" customFormat="false" ht="55.5" hidden="false" customHeight="true" outlineLevel="0" collapsed="false">
      <c r="A8" s="32" t="s">
        <v>25</v>
      </c>
      <c r="B8" s="8" t="s">
        <v>447</v>
      </c>
      <c r="C8" s="8" t="s">
        <v>450</v>
      </c>
    </row>
    <row r="9" customFormat="false" ht="42" hidden="false" customHeight="true" outlineLevel="0" collapsed="false">
      <c r="A9" s="32" t="s">
        <v>28</v>
      </c>
      <c r="B9" s="8" t="s">
        <v>447</v>
      </c>
      <c r="C9" s="8" t="s">
        <v>451</v>
      </c>
    </row>
    <row r="10" customFormat="false" ht="42" hidden="false" customHeight="true" outlineLevel="0" collapsed="false">
      <c r="A10" s="32" t="s">
        <v>31</v>
      </c>
      <c r="B10" s="8" t="s">
        <v>447</v>
      </c>
      <c r="C10" s="8" t="s">
        <v>452</v>
      </c>
    </row>
    <row r="11" customFormat="false" ht="42" hidden="false" customHeight="true" outlineLevel="0" collapsed="false">
      <c r="A11" s="32" t="s">
        <v>33</v>
      </c>
      <c r="B11" s="8" t="s">
        <v>447</v>
      </c>
      <c r="C11" s="8" t="s">
        <v>453</v>
      </c>
    </row>
    <row r="12" customFormat="false" ht="42" hidden="false" customHeight="true" outlineLevel="0" collapsed="false">
      <c r="A12" s="32" t="s">
        <v>36</v>
      </c>
      <c r="B12" s="8" t="s">
        <v>447</v>
      </c>
      <c r="C12" s="8" t="s">
        <v>454</v>
      </c>
    </row>
    <row r="13" customFormat="false" ht="15" hidden="false" customHeight="false" outlineLevel="0" collapsed="false">
      <c r="A13" s="4" t="s">
        <v>455</v>
      </c>
      <c r="B13" s="5"/>
      <c r="C13" s="5"/>
    </row>
    <row r="14" customFormat="false" ht="18" hidden="false" customHeight="true" outlineLevel="0" collapsed="false">
      <c r="A14" s="32" t="s">
        <v>19</v>
      </c>
      <c r="B14" s="8" t="s">
        <v>456</v>
      </c>
      <c r="C14" s="8" t="s">
        <v>457</v>
      </c>
    </row>
    <row r="15" customFormat="false" ht="42" hidden="false" customHeight="true" outlineLevel="0" collapsed="false">
      <c r="A15" s="32" t="s">
        <v>19</v>
      </c>
      <c r="B15" s="8" t="s">
        <v>458</v>
      </c>
      <c r="C15" s="8" t="s">
        <v>459</v>
      </c>
    </row>
    <row r="16" customFormat="false" ht="18" hidden="false" customHeight="true" outlineLevel="0" collapsed="false">
      <c r="A16" s="32" t="s">
        <v>22</v>
      </c>
      <c r="B16" s="8" t="s">
        <v>460</v>
      </c>
      <c r="C16" s="8" t="s">
        <v>461</v>
      </c>
    </row>
    <row r="17" customFormat="false" ht="18" hidden="false" customHeight="true" outlineLevel="0" collapsed="false">
      <c r="A17" s="32" t="s">
        <v>25</v>
      </c>
      <c r="B17" s="8" t="s">
        <v>462</v>
      </c>
      <c r="C17" s="8" t="s">
        <v>463</v>
      </c>
    </row>
    <row r="18" customFormat="false" ht="18" hidden="false" customHeight="true" outlineLevel="0" collapsed="false">
      <c r="A18" s="32" t="s">
        <v>31</v>
      </c>
      <c r="B18" s="8" t="s">
        <v>464</v>
      </c>
      <c r="C18" s="8" t="s">
        <v>465</v>
      </c>
    </row>
    <row r="19" customFormat="false" ht="18" hidden="false" customHeight="true" outlineLevel="0" collapsed="false">
      <c r="A19" s="32" t="s">
        <v>36</v>
      </c>
      <c r="B19" s="8" t="s">
        <v>466</v>
      </c>
      <c r="C19" s="8" t="s">
        <v>467</v>
      </c>
    </row>
    <row r="20" customFormat="false" ht="15" hidden="false" customHeight="false" outlineLevel="0" collapsed="false">
      <c r="A20" s="4" t="s">
        <v>468</v>
      </c>
      <c r="B20" s="5"/>
      <c r="C20" s="5"/>
    </row>
    <row r="21" customFormat="false" ht="27.75" hidden="false" customHeight="true" outlineLevel="0" collapsed="false">
      <c r="A21" s="32" t="s">
        <v>22</v>
      </c>
      <c r="B21" s="8" t="s">
        <v>469</v>
      </c>
      <c r="C21" s="8" t="s">
        <v>470</v>
      </c>
    </row>
    <row r="22" customFormat="false" ht="42" hidden="false" customHeight="true" outlineLevel="0" collapsed="false">
      <c r="A22" s="32" t="s">
        <v>19</v>
      </c>
      <c r="B22" s="8" t="s">
        <v>471</v>
      </c>
      <c r="C22" s="8" t="s">
        <v>472</v>
      </c>
    </row>
    <row r="23" customFormat="false" ht="27.75" hidden="false" customHeight="true" outlineLevel="0" collapsed="false">
      <c r="A23" s="32" t="s">
        <v>33</v>
      </c>
      <c r="B23" s="8" t="s">
        <v>473</v>
      </c>
      <c r="C23" s="8" t="s">
        <v>474</v>
      </c>
    </row>
    <row r="24" customFormat="false" ht="27.75" hidden="false" customHeight="true" outlineLevel="0" collapsed="false">
      <c r="A24" s="32" t="s">
        <v>36</v>
      </c>
      <c r="B24" s="8" t="s">
        <v>475</v>
      </c>
      <c r="C24" s="8" t="s">
        <v>476</v>
      </c>
    </row>
    <row r="25" customFormat="false" ht="27.75" hidden="false" customHeight="true" outlineLevel="0" collapsed="false">
      <c r="A25" s="32" t="s">
        <v>19</v>
      </c>
      <c r="B25" s="8" t="s">
        <v>477</v>
      </c>
      <c r="C25" s="8" t="s">
        <v>478</v>
      </c>
    </row>
    <row r="26" customFormat="false" ht="27.75" hidden="false" customHeight="true" outlineLevel="0" collapsed="false">
      <c r="A26" s="32" t="s">
        <v>479</v>
      </c>
      <c r="B26" s="8" t="s">
        <v>480</v>
      </c>
      <c r="C26" s="8" t="s">
        <v>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48"/>
    <col collapsed="false" customWidth="true" hidden="false" outlineLevel="0" max="7" min="7" style="0" width="24"/>
    <col collapsed="false" customWidth="true" hidden="false" outlineLevel="0" max="8" min="8" style="0" width="10"/>
    <col collapsed="false" customWidth="true" hidden="false" outlineLevel="0" max="9" min="9" style="0" width="15"/>
    <col collapsed="false" customWidth="true" hidden="false" outlineLevel="0" max="10" min="10" style="0" width="21"/>
  </cols>
  <sheetData>
    <row r="1" customFormat="false" ht="21.75" hidden="false" customHeight="true" outlineLevel="0" collapsed="false">
      <c r="A1" s="6" t="s">
        <v>132</v>
      </c>
      <c r="B1" s="6" t="s">
        <v>141</v>
      </c>
      <c r="C1" s="6" t="s">
        <v>149</v>
      </c>
      <c r="D1" s="6" t="s">
        <v>155</v>
      </c>
      <c r="E1" s="6" t="s">
        <v>161</v>
      </c>
      <c r="F1" s="6" t="s">
        <v>167</v>
      </c>
      <c r="G1" s="6" t="s">
        <v>173</v>
      </c>
      <c r="H1" s="6" t="s">
        <v>179</v>
      </c>
      <c r="I1" s="6" t="s">
        <v>185</v>
      </c>
      <c r="J1" s="6" t="s">
        <v>191</v>
      </c>
    </row>
    <row r="2" customFormat="false" ht="15" hidden="false" customHeight="false" outlineLevel="0" collapsed="false">
      <c r="A2" s="36" t="n">
        <v>1</v>
      </c>
      <c r="B2" s="36" t="s">
        <v>147</v>
      </c>
      <c r="C2" s="36" t="s">
        <v>482</v>
      </c>
      <c r="D2" s="36" t="s">
        <v>483</v>
      </c>
      <c r="E2" s="36" t="s">
        <v>165</v>
      </c>
      <c r="F2" s="8"/>
      <c r="G2" s="36"/>
      <c r="H2" s="36" t="s">
        <v>183</v>
      </c>
      <c r="I2" s="36" t="s">
        <v>46</v>
      </c>
      <c r="J2" s="37" t="s">
        <v>484</v>
      </c>
    </row>
    <row r="3" customFormat="false" ht="15" hidden="false" customHeight="false" outlineLevel="0" collapsed="false">
      <c r="A3" s="38" t="n">
        <v>2</v>
      </c>
      <c r="B3" s="38" t="s">
        <v>147</v>
      </c>
      <c r="C3" s="38" t="s">
        <v>485</v>
      </c>
      <c r="D3" s="38" t="s">
        <v>486</v>
      </c>
      <c r="E3" s="38" t="s">
        <v>487</v>
      </c>
      <c r="F3" s="34"/>
      <c r="G3" s="38"/>
      <c r="H3" s="38" t="s">
        <v>183</v>
      </c>
      <c r="I3" s="38" t="s">
        <v>50</v>
      </c>
      <c r="J3" s="39" t="s">
        <v>488</v>
      </c>
    </row>
    <row r="4" customFormat="false" ht="15" hidden="false" customHeight="false" outlineLevel="0" collapsed="false">
      <c r="A4" s="36" t="n">
        <v>3</v>
      </c>
      <c r="B4" s="36" t="s">
        <v>147</v>
      </c>
      <c r="C4" s="36" t="s">
        <v>489</v>
      </c>
      <c r="D4" s="36" t="s">
        <v>490</v>
      </c>
      <c r="E4" s="36" t="s">
        <v>491</v>
      </c>
      <c r="F4" s="8"/>
      <c r="G4" s="36"/>
      <c r="H4" s="36" t="s">
        <v>183</v>
      </c>
      <c r="I4" s="36" t="s">
        <v>46</v>
      </c>
      <c r="J4" s="37" t="s">
        <v>492</v>
      </c>
    </row>
    <row r="5" customFormat="false" ht="15" hidden="false" customHeight="false" outlineLevel="0" collapsed="false">
      <c r="A5" s="38" t="n">
        <v>4</v>
      </c>
      <c r="B5" s="38" t="s">
        <v>147</v>
      </c>
      <c r="C5" s="38" t="s">
        <v>493</v>
      </c>
      <c r="D5" s="38" t="s">
        <v>159</v>
      </c>
      <c r="E5" s="38" t="s">
        <v>494</v>
      </c>
      <c r="F5" s="34"/>
      <c r="G5" s="38"/>
      <c r="H5" s="38" t="s">
        <v>183</v>
      </c>
      <c r="I5" s="38" t="s">
        <v>46</v>
      </c>
      <c r="J5" s="39" t="s">
        <v>495</v>
      </c>
    </row>
    <row r="6" customFormat="false" ht="15" hidden="false" customHeight="false" outlineLevel="0" collapsed="false">
      <c r="A6" s="36" t="n">
        <v>5</v>
      </c>
      <c r="B6" s="36" t="s">
        <v>147</v>
      </c>
      <c r="C6" s="36" t="s">
        <v>496</v>
      </c>
      <c r="D6" s="36" t="s">
        <v>497</v>
      </c>
      <c r="E6" s="36" t="s">
        <v>498</v>
      </c>
      <c r="F6" s="8"/>
      <c r="G6" s="36"/>
      <c r="H6" s="36" t="s">
        <v>183</v>
      </c>
      <c r="I6" s="36" t="s">
        <v>46</v>
      </c>
      <c r="J6" s="37" t="s">
        <v>499</v>
      </c>
    </row>
    <row r="7" customFormat="false" ht="15" hidden="false" customHeight="false" outlineLevel="0" collapsed="false">
      <c r="A7" s="38" t="n">
        <v>6</v>
      </c>
      <c r="B7" s="38" t="s">
        <v>500</v>
      </c>
      <c r="C7" s="38" t="s">
        <v>153</v>
      </c>
      <c r="D7" s="38" t="s">
        <v>159</v>
      </c>
      <c r="E7" s="38" t="s">
        <v>501</v>
      </c>
      <c r="F7" s="34" t="s">
        <v>502</v>
      </c>
      <c r="G7" s="38" t="s">
        <v>177</v>
      </c>
      <c r="H7" s="38" t="s">
        <v>503</v>
      </c>
      <c r="I7" s="38" t="s">
        <v>48</v>
      </c>
      <c r="J7" s="39" t="s">
        <v>504</v>
      </c>
    </row>
    <row r="8" customFormat="false" ht="15" hidden="false" customHeight="false" outlineLevel="0" collapsed="false">
      <c r="A8" s="36" t="n">
        <v>7</v>
      </c>
      <c r="B8" s="36" t="s">
        <v>147</v>
      </c>
      <c r="C8" s="36" t="s">
        <v>153</v>
      </c>
      <c r="D8" s="36" t="s">
        <v>159</v>
      </c>
      <c r="E8" s="36" t="s">
        <v>505</v>
      </c>
      <c r="F8" s="8" t="s">
        <v>171</v>
      </c>
      <c r="G8" s="36" t="s">
        <v>506</v>
      </c>
      <c r="H8" s="36" t="s">
        <v>503</v>
      </c>
      <c r="I8" s="36" t="s">
        <v>46</v>
      </c>
      <c r="J8" s="37" t="s">
        <v>195</v>
      </c>
    </row>
    <row r="9" customFormat="false" ht="15" hidden="false" customHeight="false" outlineLevel="0" collapsed="false">
      <c r="A9" s="38" t="n">
        <v>8</v>
      </c>
      <c r="B9" s="38" t="s">
        <v>500</v>
      </c>
      <c r="C9" s="38" t="s">
        <v>482</v>
      </c>
      <c r="D9" s="38" t="s">
        <v>497</v>
      </c>
      <c r="E9" s="38" t="s">
        <v>507</v>
      </c>
      <c r="F9" s="34" t="s">
        <v>508</v>
      </c>
      <c r="G9" s="38" t="s">
        <v>509</v>
      </c>
      <c r="H9" s="38" t="s">
        <v>503</v>
      </c>
      <c r="I9" s="38" t="s">
        <v>46</v>
      </c>
      <c r="J9" s="39" t="s">
        <v>510</v>
      </c>
    </row>
    <row r="10" customFormat="false" ht="15" hidden="false" customHeight="false" outlineLevel="0" collapsed="false">
      <c r="A10" s="36" t="n">
        <v>9</v>
      </c>
      <c r="B10" s="36" t="s">
        <v>147</v>
      </c>
      <c r="C10" s="36" t="s">
        <v>485</v>
      </c>
      <c r="D10" s="36" t="s">
        <v>511</v>
      </c>
      <c r="E10" s="36" t="s">
        <v>512</v>
      </c>
      <c r="F10" s="8" t="s">
        <v>513</v>
      </c>
      <c r="G10" s="36" t="s">
        <v>514</v>
      </c>
      <c r="H10" s="36" t="s">
        <v>503</v>
      </c>
      <c r="I10" s="36" t="s">
        <v>46</v>
      </c>
      <c r="J10" s="37" t="s">
        <v>515</v>
      </c>
    </row>
    <row r="11" customFormat="false" ht="15" hidden="false" customHeight="false" outlineLevel="0" collapsed="false">
      <c r="A11" s="38" t="n">
        <v>10</v>
      </c>
      <c r="B11" s="38" t="s">
        <v>147</v>
      </c>
      <c r="C11" s="38" t="s">
        <v>516</v>
      </c>
      <c r="D11" s="38"/>
      <c r="E11" s="38" t="s">
        <v>517</v>
      </c>
      <c r="F11" s="34" t="s">
        <v>518</v>
      </c>
      <c r="G11" s="38" t="s">
        <v>320</v>
      </c>
      <c r="H11" s="38" t="s">
        <v>503</v>
      </c>
      <c r="I11" s="38" t="s">
        <v>46</v>
      </c>
      <c r="J11" s="39" t="s">
        <v>519</v>
      </c>
    </row>
    <row r="12" customFormat="false" ht="15" hidden="false" customHeight="false" outlineLevel="0" collapsed="false">
      <c r="A12" s="36" t="n">
        <v>11</v>
      </c>
      <c r="B12" s="36" t="s">
        <v>500</v>
      </c>
      <c r="C12" s="36" t="s">
        <v>485</v>
      </c>
      <c r="D12" s="36" t="s">
        <v>486</v>
      </c>
      <c r="E12" s="36" t="s">
        <v>520</v>
      </c>
      <c r="F12" s="8" t="s">
        <v>521</v>
      </c>
      <c r="G12" s="36" t="s">
        <v>522</v>
      </c>
      <c r="H12" s="36" t="s">
        <v>503</v>
      </c>
      <c r="I12" s="36" t="s">
        <v>46</v>
      </c>
      <c r="J12" s="37" t="s">
        <v>523</v>
      </c>
    </row>
    <row r="13" customFormat="false" ht="15" hidden="false" customHeight="false" outlineLevel="0" collapsed="false">
      <c r="A13" s="38" t="n">
        <v>12</v>
      </c>
      <c r="B13" s="38" t="s">
        <v>147</v>
      </c>
      <c r="C13" s="38" t="s">
        <v>524</v>
      </c>
      <c r="D13" s="38" t="s">
        <v>159</v>
      </c>
      <c r="E13" s="38" t="s">
        <v>525</v>
      </c>
      <c r="F13" s="34"/>
      <c r="G13" s="38"/>
      <c r="H13" s="38" t="s">
        <v>183</v>
      </c>
      <c r="I13" s="38" t="s">
        <v>52</v>
      </c>
      <c r="J13" s="39" t="s">
        <v>526</v>
      </c>
    </row>
    <row r="14" customFormat="false" ht="15" hidden="false" customHeight="false" outlineLevel="0" collapsed="false">
      <c r="A14" s="36" t="n">
        <v>13</v>
      </c>
      <c r="B14" s="36" t="s">
        <v>500</v>
      </c>
      <c r="C14" s="36" t="s">
        <v>527</v>
      </c>
      <c r="D14" s="36"/>
      <c r="E14" s="36" t="s">
        <v>528</v>
      </c>
      <c r="F14" s="8" t="s">
        <v>529</v>
      </c>
      <c r="G14" s="36" t="s">
        <v>530</v>
      </c>
      <c r="H14" s="36" t="s">
        <v>503</v>
      </c>
      <c r="I14" s="36" t="s">
        <v>46</v>
      </c>
      <c r="J14" s="37" t="s">
        <v>531</v>
      </c>
    </row>
    <row r="15" customFormat="false" ht="15" hidden="false" customHeight="false" outlineLevel="0" collapsed="false">
      <c r="A15" s="38" t="n">
        <v>14</v>
      </c>
      <c r="B15" s="38" t="s">
        <v>500</v>
      </c>
      <c r="C15" s="38" t="s">
        <v>532</v>
      </c>
      <c r="D15" s="38" t="s">
        <v>511</v>
      </c>
      <c r="E15" s="38" t="s">
        <v>533</v>
      </c>
      <c r="F15" s="34" t="s">
        <v>534</v>
      </c>
      <c r="G15" s="38" t="s">
        <v>535</v>
      </c>
      <c r="H15" s="38" t="s">
        <v>503</v>
      </c>
      <c r="I15" s="38" t="s">
        <v>46</v>
      </c>
      <c r="J15" s="39" t="s">
        <v>536</v>
      </c>
    </row>
    <row r="16" customFormat="false" ht="15" hidden="false" customHeight="false" outlineLevel="0" collapsed="false">
      <c r="J16" s="40"/>
    </row>
    <row r="17" customFormat="false" ht="15" hidden="false" customHeight="false" outlineLevel="0" collapsed="false">
      <c r="J17" s="40"/>
    </row>
    <row r="18" customFormat="false" ht="15" hidden="false" customHeight="false" outlineLevel="0" collapsed="false">
      <c r="J18" s="40"/>
    </row>
    <row r="19" customFormat="false" ht="15" hidden="false" customHeight="false" outlineLevel="0" collapsed="false">
      <c r="J19" s="40"/>
    </row>
    <row r="20" customFormat="false" ht="15" hidden="false" customHeight="false" outlineLevel="0" collapsed="false">
      <c r="J20" s="40"/>
    </row>
    <row r="21" customFormat="false" ht="15" hidden="false" customHeight="false" outlineLevel="0" collapsed="false">
      <c r="J21" s="40"/>
    </row>
    <row r="22" customFormat="false" ht="15" hidden="false" customHeight="false" outlineLevel="0" collapsed="false">
      <c r="J22" s="40"/>
    </row>
    <row r="23" customFormat="false" ht="15" hidden="false" customHeight="false" outlineLevel="0" collapsed="false">
      <c r="J23" s="40"/>
    </row>
    <row r="24" customFormat="false" ht="15" hidden="false" customHeight="false" outlineLevel="0" collapsed="false">
      <c r="J24" s="40"/>
    </row>
    <row r="25" customFormat="false" ht="15" hidden="false" customHeight="false" outlineLevel="0" collapsed="false">
      <c r="J25" s="40"/>
    </row>
    <row r="26" customFormat="false" ht="15" hidden="false" customHeight="false" outlineLevel="0" collapsed="false">
      <c r="J26" s="40"/>
    </row>
    <row r="27" customFormat="false" ht="15" hidden="false" customHeight="false" outlineLevel="0" collapsed="false">
      <c r="J27" s="40"/>
    </row>
    <row r="28" customFormat="false" ht="15" hidden="false" customHeight="false" outlineLevel="0" collapsed="false">
      <c r="J28" s="40"/>
    </row>
    <row r="29" customFormat="false" ht="15" hidden="false" customHeight="false" outlineLevel="0" collapsed="false">
      <c r="J29" s="40"/>
    </row>
    <row r="30" customFormat="false" ht="15" hidden="false" customHeight="false" outlineLevel="0" collapsed="false">
      <c r="J30" s="40"/>
    </row>
    <row r="31" customFormat="false" ht="15" hidden="false" customHeight="false" outlineLevel="0" collapsed="false">
      <c r="J31" s="40"/>
    </row>
    <row r="32" customFormat="false" ht="15" hidden="false" customHeight="false" outlineLevel="0" collapsed="false">
      <c r="J32" s="40"/>
    </row>
    <row r="33" customFormat="false" ht="15" hidden="false" customHeight="false" outlineLevel="0" collapsed="false">
      <c r="J33" s="40"/>
    </row>
    <row r="34" customFormat="false" ht="15" hidden="false" customHeight="false" outlineLevel="0" collapsed="false">
      <c r="J34" s="40"/>
    </row>
    <row r="35" customFormat="false" ht="15" hidden="false" customHeight="false" outlineLevel="0" collapsed="false">
      <c r="J35" s="40"/>
    </row>
    <row r="36" customFormat="false" ht="15" hidden="false" customHeight="false" outlineLevel="0" collapsed="false">
      <c r="J36" s="40"/>
    </row>
    <row r="37" customFormat="false" ht="15" hidden="false" customHeight="false" outlineLevel="0" collapsed="false">
      <c r="J37" s="40"/>
    </row>
    <row r="38" customFormat="false" ht="15" hidden="false" customHeight="false" outlineLevel="0" collapsed="false">
      <c r="J38" s="40"/>
    </row>
    <row r="39" customFormat="false" ht="15" hidden="false" customHeight="false" outlineLevel="0" collapsed="false">
      <c r="J39" s="40"/>
    </row>
    <row r="40" customFormat="false" ht="15" hidden="false" customHeight="false" outlineLevel="0" collapsed="false">
      <c r="J40" s="40"/>
    </row>
    <row r="41" customFormat="false" ht="15" hidden="false" customHeight="false" outlineLevel="0" collapsed="false">
      <c r="J41" s="40"/>
    </row>
    <row r="42" customFormat="false" ht="15" hidden="false" customHeight="false" outlineLevel="0" collapsed="false">
      <c r="J42" s="40"/>
    </row>
    <row r="43" customFormat="false" ht="15" hidden="false" customHeight="false" outlineLevel="0" collapsed="false">
      <c r="J43" s="40"/>
    </row>
    <row r="44" customFormat="false" ht="15" hidden="false" customHeight="false" outlineLevel="0" collapsed="false">
      <c r="J44" s="40"/>
    </row>
    <row r="45" customFormat="false" ht="15" hidden="false" customHeight="false" outlineLevel="0" collapsed="false">
      <c r="J45" s="40"/>
    </row>
    <row r="46" customFormat="false" ht="15" hidden="false" customHeight="false" outlineLevel="0" collapsed="false">
      <c r="J46" s="40"/>
    </row>
    <row r="47" customFormat="false" ht="15" hidden="false" customHeight="false" outlineLevel="0" collapsed="false">
      <c r="J47" s="40"/>
    </row>
    <row r="48" customFormat="false" ht="15" hidden="false" customHeight="false" outlineLevel="0" collapsed="false">
      <c r="J48" s="40"/>
    </row>
    <row r="49" customFormat="false" ht="15" hidden="false" customHeight="false" outlineLevel="0" collapsed="false">
      <c r="J49" s="40"/>
    </row>
    <row r="50" customFormat="false" ht="15" hidden="false" customHeight="false" outlineLevel="0" collapsed="false">
      <c r="J50" s="40"/>
    </row>
    <row r="51" customFormat="false" ht="15" hidden="false" customHeight="false" outlineLevel="0" collapsed="false">
      <c r="J51" s="40"/>
    </row>
    <row r="52" customFormat="false" ht="15" hidden="false" customHeight="false" outlineLevel="0" collapsed="false">
      <c r="J52" s="40"/>
    </row>
    <row r="53" customFormat="false" ht="15" hidden="false" customHeight="false" outlineLevel="0" collapsed="false">
      <c r="J53" s="40"/>
    </row>
    <row r="54" customFormat="false" ht="15" hidden="false" customHeight="false" outlineLevel="0" collapsed="false">
      <c r="J54" s="40"/>
    </row>
    <row r="55" customFormat="false" ht="15" hidden="false" customHeight="false" outlineLevel="0" collapsed="false">
      <c r="J55" s="40"/>
    </row>
    <row r="56" customFormat="false" ht="15" hidden="false" customHeight="false" outlineLevel="0" collapsed="false">
      <c r="J56" s="40"/>
    </row>
    <row r="57" customFormat="false" ht="15" hidden="false" customHeight="false" outlineLevel="0" collapsed="false">
      <c r="J57" s="40"/>
    </row>
    <row r="58" customFormat="false" ht="15" hidden="false" customHeight="false" outlineLevel="0" collapsed="false">
      <c r="J58" s="40"/>
    </row>
    <row r="59" customFormat="false" ht="15" hidden="false" customHeight="false" outlineLevel="0" collapsed="false">
      <c r="J59" s="40"/>
    </row>
    <row r="60" customFormat="false" ht="15" hidden="false" customHeight="false" outlineLevel="0" collapsed="false">
      <c r="J60" s="40"/>
    </row>
    <row r="61" customFormat="false" ht="15" hidden="false" customHeight="false" outlineLevel="0" collapsed="false">
      <c r="J61" s="40"/>
    </row>
    <row r="62" customFormat="false" ht="15" hidden="false" customHeight="false" outlineLevel="0" collapsed="false">
      <c r="J62" s="40"/>
    </row>
    <row r="63" customFormat="false" ht="15" hidden="false" customHeight="false" outlineLevel="0" collapsed="false">
      <c r="J63" s="40"/>
    </row>
    <row r="64" customFormat="false" ht="15" hidden="false" customHeight="false" outlineLevel="0" collapsed="false">
      <c r="J64" s="40"/>
    </row>
    <row r="65" customFormat="false" ht="15" hidden="false" customHeight="false" outlineLevel="0" collapsed="false">
      <c r="J65" s="40"/>
    </row>
    <row r="66" customFormat="false" ht="15" hidden="false" customHeight="false" outlineLevel="0" collapsed="false">
      <c r="J66" s="40"/>
    </row>
    <row r="67" customFormat="false" ht="15" hidden="false" customHeight="false" outlineLevel="0" collapsed="false">
      <c r="J67" s="40"/>
    </row>
    <row r="68" customFormat="false" ht="15" hidden="false" customHeight="false" outlineLevel="0" collapsed="false">
      <c r="J68" s="40"/>
    </row>
    <row r="69" customFormat="false" ht="15" hidden="false" customHeight="false" outlineLevel="0" collapsed="false">
      <c r="J69" s="40"/>
    </row>
    <row r="70" customFormat="false" ht="15" hidden="false" customHeight="false" outlineLevel="0" collapsed="false">
      <c r="J70" s="40"/>
    </row>
    <row r="71" customFormat="false" ht="15" hidden="false" customHeight="false" outlineLevel="0" collapsed="false">
      <c r="J71" s="40"/>
    </row>
    <row r="72" customFormat="false" ht="15" hidden="false" customHeight="false" outlineLevel="0" collapsed="false">
      <c r="J72" s="40"/>
    </row>
    <row r="73" customFormat="false" ht="15" hidden="false" customHeight="false" outlineLevel="0" collapsed="false">
      <c r="J73" s="40"/>
    </row>
    <row r="74" customFormat="false" ht="15" hidden="false" customHeight="false" outlineLevel="0" collapsed="false">
      <c r="J74" s="40"/>
    </row>
    <row r="75" customFormat="false" ht="15" hidden="false" customHeight="false" outlineLevel="0" collapsed="false">
      <c r="J75" s="40"/>
    </row>
    <row r="76" customFormat="false" ht="15" hidden="false" customHeight="false" outlineLevel="0" collapsed="false">
      <c r="J76" s="40"/>
    </row>
    <row r="77" customFormat="false" ht="15" hidden="false" customHeight="false" outlineLevel="0" collapsed="false">
      <c r="J77" s="40"/>
    </row>
    <row r="78" customFormat="false" ht="15" hidden="false" customHeight="false" outlineLevel="0" collapsed="false">
      <c r="J78" s="40"/>
    </row>
    <row r="79" customFormat="false" ht="15" hidden="false" customHeight="false" outlineLevel="0" collapsed="false">
      <c r="J79" s="40"/>
    </row>
    <row r="80" customFormat="false" ht="15" hidden="false" customHeight="false" outlineLevel="0" collapsed="false">
      <c r="J80" s="40"/>
    </row>
    <row r="81" customFormat="false" ht="15" hidden="false" customHeight="false" outlineLevel="0" collapsed="false">
      <c r="J81" s="40"/>
    </row>
    <row r="82" customFormat="false" ht="15" hidden="false" customHeight="false" outlineLevel="0" collapsed="false">
      <c r="J82" s="40"/>
    </row>
    <row r="83" customFormat="false" ht="15" hidden="false" customHeight="false" outlineLevel="0" collapsed="false">
      <c r="J83" s="40"/>
    </row>
    <row r="84" customFormat="false" ht="15" hidden="false" customHeight="false" outlineLevel="0" collapsed="false">
      <c r="J84" s="40"/>
    </row>
    <row r="85" customFormat="false" ht="15" hidden="false" customHeight="false" outlineLevel="0" collapsed="false">
      <c r="J85" s="40"/>
    </row>
    <row r="86" customFormat="false" ht="15" hidden="false" customHeight="false" outlineLevel="0" collapsed="false">
      <c r="J86" s="40"/>
    </row>
    <row r="87" customFormat="false" ht="15" hidden="false" customHeight="false" outlineLevel="0" collapsed="false">
      <c r="J87" s="40"/>
    </row>
    <row r="88" customFormat="false" ht="15" hidden="false" customHeight="false" outlineLevel="0" collapsed="false">
      <c r="J88" s="40"/>
    </row>
    <row r="89" customFormat="false" ht="15" hidden="false" customHeight="false" outlineLevel="0" collapsed="false">
      <c r="J89" s="40"/>
    </row>
    <row r="90" customFormat="false" ht="15" hidden="false" customHeight="false" outlineLevel="0" collapsed="false">
      <c r="J90" s="40"/>
    </row>
    <row r="91" customFormat="false" ht="15" hidden="false" customHeight="false" outlineLevel="0" collapsed="false">
      <c r="J91" s="40"/>
    </row>
    <row r="92" customFormat="false" ht="15" hidden="false" customHeight="false" outlineLevel="0" collapsed="false">
      <c r="J92" s="40"/>
    </row>
    <row r="93" customFormat="false" ht="15" hidden="false" customHeight="false" outlineLevel="0" collapsed="false">
      <c r="J93" s="40"/>
    </row>
    <row r="94" customFormat="false" ht="15" hidden="false" customHeight="false" outlineLevel="0" collapsed="false">
      <c r="J94" s="40"/>
    </row>
    <row r="95" customFormat="false" ht="15" hidden="false" customHeight="false" outlineLevel="0" collapsed="false">
      <c r="J95" s="40"/>
    </row>
    <row r="96" customFormat="false" ht="15" hidden="false" customHeight="false" outlineLevel="0" collapsed="false">
      <c r="J96" s="40"/>
    </row>
    <row r="97" customFormat="false" ht="15" hidden="false" customHeight="false" outlineLevel="0" collapsed="false">
      <c r="J97" s="40"/>
    </row>
    <row r="98" customFormat="false" ht="15" hidden="false" customHeight="false" outlineLevel="0" collapsed="false">
      <c r="J98" s="40"/>
    </row>
    <row r="99" customFormat="false" ht="15" hidden="false" customHeight="false" outlineLevel="0" collapsed="false">
      <c r="J99" s="40"/>
    </row>
    <row r="100" customFormat="false" ht="15" hidden="false" customHeight="false" outlineLevel="0" collapsed="false">
      <c r="J100" s="40"/>
    </row>
    <row r="101" customFormat="false" ht="15" hidden="false" customHeight="false" outlineLevel="0" collapsed="false">
      <c r="J101" s="40"/>
    </row>
    <row r="102" customFormat="false" ht="15" hidden="false" customHeight="false" outlineLevel="0" collapsed="false">
      <c r="J102" s="40"/>
    </row>
    <row r="103" customFormat="false" ht="15" hidden="false" customHeight="false" outlineLevel="0" collapsed="false">
      <c r="J103" s="40"/>
    </row>
    <row r="104" customFormat="false" ht="15" hidden="false" customHeight="false" outlineLevel="0" collapsed="false">
      <c r="J104" s="40"/>
    </row>
    <row r="105" customFormat="false" ht="15" hidden="false" customHeight="false" outlineLevel="0" collapsed="false">
      <c r="J105" s="40"/>
    </row>
    <row r="106" customFormat="false" ht="15" hidden="false" customHeight="false" outlineLevel="0" collapsed="false">
      <c r="J106" s="40"/>
    </row>
    <row r="107" customFormat="false" ht="15" hidden="false" customHeight="false" outlineLevel="0" collapsed="false">
      <c r="J107" s="40"/>
    </row>
    <row r="108" customFormat="false" ht="15" hidden="false" customHeight="false" outlineLevel="0" collapsed="false">
      <c r="J108" s="40"/>
    </row>
    <row r="109" customFormat="false" ht="15" hidden="false" customHeight="false" outlineLevel="0" collapsed="false">
      <c r="J109" s="40"/>
    </row>
    <row r="110" customFormat="false" ht="15" hidden="false" customHeight="false" outlineLevel="0" collapsed="false">
      <c r="J110" s="40"/>
    </row>
    <row r="111" customFormat="false" ht="15" hidden="false" customHeight="false" outlineLevel="0" collapsed="false">
      <c r="J111" s="40"/>
    </row>
    <row r="112" customFormat="false" ht="15" hidden="false" customHeight="false" outlineLevel="0" collapsed="false">
      <c r="J112" s="40"/>
    </row>
    <row r="113" customFormat="false" ht="15" hidden="false" customHeight="false" outlineLevel="0" collapsed="false">
      <c r="J113" s="40"/>
    </row>
    <row r="114" customFormat="false" ht="15" hidden="false" customHeight="false" outlineLevel="0" collapsed="false">
      <c r="J114" s="40"/>
    </row>
    <row r="115" customFormat="false" ht="15" hidden="false" customHeight="false" outlineLevel="0" collapsed="false">
      <c r="J115" s="40"/>
    </row>
    <row r="116" customFormat="false" ht="15" hidden="false" customHeight="false" outlineLevel="0" collapsed="false">
      <c r="J116" s="40"/>
    </row>
    <row r="117" customFormat="false" ht="15" hidden="false" customHeight="false" outlineLevel="0" collapsed="false">
      <c r="J117" s="40"/>
    </row>
    <row r="118" customFormat="false" ht="15" hidden="false" customHeight="false" outlineLevel="0" collapsed="false">
      <c r="J118" s="40"/>
    </row>
    <row r="119" customFormat="false" ht="15" hidden="false" customHeight="false" outlineLevel="0" collapsed="false">
      <c r="J119" s="40"/>
    </row>
    <row r="120" customFormat="false" ht="15" hidden="false" customHeight="false" outlineLevel="0" collapsed="false">
      <c r="J120" s="40"/>
    </row>
    <row r="121" customFormat="false" ht="15" hidden="false" customHeight="false" outlineLevel="0" collapsed="false">
      <c r="J121" s="40"/>
    </row>
    <row r="122" customFormat="false" ht="15" hidden="false" customHeight="false" outlineLevel="0" collapsed="false">
      <c r="J122" s="40"/>
    </row>
    <row r="123" customFormat="false" ht="15" hidden="false" customHeight="false" outlineLevel="0" collapsed="false">
      <c r="J123" s="40"/>
    </row>
    <row r="124" customFormat="false" ht="15" hidden="false" customHeight="false" outlineLevel="0" collapsed="false">
      <c r="J124" s="40"/>
    </row>
    <row r="125" customFormat="false" ht="15" hidden="false" customHeight="false" outlineLevel="0" collapsed="false">
      <c r="J125" s="40"/>
    </row>
    <row r="126" customFormat="false" ht="15" hidden="false" customHeight="false" outlineLevel="0" collapsed="false">
      <c r="J126" s="40"/>
    </row>
    <row r="127" customFormat="false" ht="15" hidden="false" customHeight="false" outlineLevel="0" collapsed="false">
      <c r="J127" s="40"/>
    </row>
    <row r="128" customFormat="false" ht="15" hidden="false" customHeight="false" outlineLevel="0" collapsed="false">
      <c r="J128" s="40"/>
    </row>
    <row r="129" customFormat="false" ht="15" hidden="false" customHeight="false" outlineLevel="0" collapsed="false">
      <c r="J129" s="40"/>
    </row>
    <row r="130" customFormat="false" ht="15" hidden="false" customHeight="false" outlineLevel="0" collapsed="false">
      <c r="J130" s="40"/>
    </row>
    <row r="131" customFormat="false" ht="15" hidden="false" customHeight="false" outlineLevel="0" collapsed="false">
      <c r="J131" s="40"/>
    </row>
    <row r="132" customFormat="false" ht="15" hidden="false" customHeight="false" outlineLevel="0" collapsed="false">
      <c r="J132" s="40"/>
    </row>
    <row r="133" customFormat="false" ht="15" hidden="false" customHeight="false" outlineLevel="0" collapsed="false">
      <c r="J133" s="40"/>
    </row>
    <row r="134" customFormat="false" ht="15" hidden="false" customHeight="false" outlineLevel="0" collapsed="false">
      <c r="J134" s="40"/>
    </row>
    <row r="135" customFormat="false" ht="15" hidden="false" customHeight="false" outlineLevel="0" collapsed="false">
      <c r="J135" s="40"/>
    </row>
    <row r="136" customFormat="false" ht="15" hidden="false" customHeight="false" outlineLevel="0" collapsed="false">
      <c r="J136" s="40"/>
    </row>
    <row r="137" customFormat="false" ht="15" hidden="false" customHeight="false" outlineLevel="0" collapsed="false">
      <c r="J137" s="40"/>
    </row>
    <row r="138" customFormat="false" ht="15" hidden="false" customHeight="false" outlineLevel="0" collapsed="false">
      <c r="J138" s="40"/>
    </row>
    <row r="139" customFormat="false" ht="15" hidden="false" customHeight="false" outlineLevel="0" collapsed="false">
      <c r="J139" s="40"/>
    </row>
    <row r="140" customFormat="false" ht="15" hidden="false" customHeight="false" outlineLevel="0" collapsed="false">
      <c r="J140" s="40"/>
    </row>
    <row r="141" customFormat="false" ht="15" hidden="false" customHeight="false" outlineLevel="0" collapsed="false">
      <c r="J141" s="40"/>
    </row>
    <row r="142" customFormat="false" ht="15" hidden="false" customHeight="false" outlineLevel="0" collapsed="false">
      <c r="J142" s="40"/>
    </row>
    <row r="143" customFormat="false" ht="15" hidden="false" customHeight="false" outlineLevel="0" collapsed="false">
      <c r="J143" s="40"/>
    </row>
    <row r="144" customFormat="false" ht="15" hidden="false" customHeight="false" outlineLevel="0" collapsed="false">
      <c r="J144" s="40"/>
    </row>
    <row r="145" customFormat="false" ht="15" hidden="false" customHeight="false" outlineLevel="0" collapsed="false">
      <c r="J145" s="40"/>
    </row>
    <row r="146" customFormat="false" ht="15" hidden="false" customHeight="false" outlineLevel="0" collapsed="false">
      <c r="J146" s="40"/>
    </row>
    <row r="147" customFormat="false" ht="15" hidden="false" customHeight="false" outlineLevel="0" collapsed="false">
      <c r="J147" s="40"/>
    </row>
    <row r="148" customFormat="false" ht="15" hidden="false" customHeight="false" outlineLevel="0" collapsed="false">
      <c r="J148" s="40"/>
    </row>
    <row r="149" customFormat="false" ht="15" hidden="false" customHeight="false" outlineLevel="0" collapsed="false">
      <c r="J149" s="40"/>
    </row>
    <row r="150" customFormat="false" ht="15" hidden="false" customHeight="false" outlineLevel="0" collapsed="false">
      <c r="J150" s="40"/>
    </row>
    <row r="151" customFormat="false" ht="15" hidden="false" customHeight="false" outlineLevel="0" collapsed="false">
      <c r="J151" s="40"/>
    </row>
    <row r="152" customFormat="false" ht="15" hidden="false" customHeight="false" outlineLevel="0" collapsed="false">
      <c r="J152" s="40"/>
    </row>
    <row r="153" customFormat="false" ht="15" hidden="false" customHeight="false" outlineLevel="0" collapsed="false">
      <c r="J153" s="40"/>
    </row>
    <row r="154" customFormat="false" ht="15" hidden="false" customHeight="false" outlineLevel="0" collapsed="false">
      <c r="J154" s="40"/>
    </row>
    <row r="155" customFormat="false" ht="15" hidden="false" customHeight="false" outlineLevel="0" collapsed="false">
      <c r="J155" s="40"/>
    </row>
    <row r="156" customFormat="false" ht="15" hidden="false" customHeight="false" outlineLevel="0" collapsed="false">
      <c r="J156" s="40"/>
    </row>
    <row r="157" customFormat="false" ht="15" hidden="false" customHeight="false" outlineLevel="0" collapsed="false">
      <c r="J157" s="40"/>
    </row>
    <row r="158" customFormat="false" ht="15" hidden="false" customHeight="false" outlineLevel="0" collapsed="false">
      <c r="J158" s="40"/>
    </row>
    <row r="159" customFormat="false" ht="15" hidden="false" customHeight="false" outlineLevel="0" collapsed="false">
      <c r="J159" s="40"/>
    </row>
    <row r="160" customFormat="false" ht="15" hidden="false" customHeight="false" outlineLevel="0" collapsed="false">
      <c r="J160" s="40"/>
    </row>
    <row r="161" customFormat="false" ht="15" hidden="false" customHeight="false" outlineLevel="0" collapsed="false">
      <c r="J161" s="40"/>
    </row>
    <row r="162" customFormat="false" ht="15" hidden="false" customHeight="false" outlineLevel="0" collapsed="false">
      <c r="J162" s="40"/>
    </row>
    <row r="163" customFormat="false" ht="15" hidden="false" customHeight="false" outlineLevel="0" collapsed="false">
      <c r="J163" s="40"/>
    </row>
    <row r="164" customFormat="false" ht="15" hidden="false" customHeight="false" outlineLevel="0" collapsed="false">
      <c r="J164" s="40"/>
    </row>
    <row r="165" customFormat="false" ht="15" hidden="false" customHeight="false" outlineLevel="0" collapsed="false">
      <c r="J165" s="40"/>
    </row>
    <row r="166" customFormat="false" ht="15" hidden="false" customHeight="false" outlineLevel="0" collapsed="false">
      <c r="J166" s="40"/>
    </row>
    <row r="167" customFormat="false" ht="15" hidden="false" customHeight="false" outlineLevel="0" collapsed="false">
      <c r="J167" s="40"/>
    </row>
    <row r="168" customFormat="false" ht="15" hidden="false" customHeight="false" outlineLevel="0" collapsed="false">
      <c r="J168" s="40"/>
    </row>
    <row r="169" customFormat="false" ht="15" hidden="false" customHeight="false" outlineLevel="0" collapsed="false">
      <c r="J169" s="40"/>
    </row>
    <row r="170" customFormat="false" ht="15" hidden="false" customHeight="false" outlineLevel="0" collapsed="false">
      <c r="J170" s="40"/>
    </row>
    <row r="171" customFormat="false" ht="15" hidden="false" customHeight="false" outlineLevel="0" collapsed="false">
      <c r="J171" s="40"/>
    </row>
    <row r="172" customFormat="false" ht="15" hidden="false" customHeight="false" outlineLevel="0" collapsed="false">
      <c r="J172" s="40"/>
    </row>
    <row r="173" customFormat="false" ht="15" hidden="false" customHeight="false" outlineLevel="0" collapsed="false">
      <c r="J173" s="40"/>
    </row>
    <row r="174" customFormat="false" ht="15" hidden="false" customHeight="false" outlineLevel="0" collapsed="false">
      <c r="J174" s="40"/>
    </row>
    <row r="175" customFormat="false" ht="15" hidden="false" customHeight="false" outlineLevel="0" collapsed="false">
      <c r="J175" s="40"/>
    </row>
    <row r="176" customFormat="false" ht="15" hidden="false" customHeight="false" outlineLevel="0" collapsed="false">
      <c r="J176" s="40"/>
    </row>
    <row r="177" customFormat="false" ht="15" hidden="false" customHeight="false" outlineLevel="0" collapsed="false">
      <c r="J177" s="40"/>
    </row>
    <row r="178" customFormat="false" ht="15" hidden="false" customHeight="false" outlineLevel="0" collapsed="false">
      <c r="J178" s="40"/>
    </row>
    <row r="179" customFormat="false" ht="15" hidden="false" customHeight="false" outlineLevel="0" collapsed="false">
      <c r="J179" s="40"/>
    </row>
    <row r="180" customFormat="false" ht="15" hidden="false" customHeight="false" outlineLevel="0" collapsed="false">
      <c r="J180" s="40"/>
    </row>
    <row r="181" customFormat="false" ht="15" hidden="false" customHeight="false" outlineLevel="0" collapsed="false">
      <c r="J181" s="40"/>
    </row>
    <row r="182" customFormat="false" ht="15" hidden="false" customHeight="false" outlineLevel="0" collapsed="false">
      <c r="J182" s="40"/>
    </row>
    <row r="183" customFormat="false" ht="15" hidden="false" customHeight="false" outlineLevel="0" collapsed="false">
      <c r="J183" s="40"/>
    </row>
    <row r="184" customFormat="false" ht="15" hidden="false" customHeight="false" outlineLevel="0" collapsed="false">
      <c r="J184" s="40"/>
    </row>
    <row r="185" customFormat="false" ht="15" hidden="false" customHeight="false" outlineLevel="0" collapsed="false">
      <c r="J185" s="40"/>
    </row>
    <row r="186" customFormat="false" ht="15" hidden="false" customHeight="false" outlineLevel="0" collapsed="false">
      <c r="J186" s="40"/>
    </row>
    <row r="187" customFormat="false" ht="15" hidden="false" customHeight="false" outlineLevel="0" collapsed="false">
      <c r="J187" s="40"/>
    </row>
    <row r="188" customFormat="false" ht="15" hidden="false" customHeight="false" outlineLevel="0" collapsed="false">
      <c r="J188" s="40"/>
    </row>
    <row r="189" customFormat="false" ht="15" hidden="false" customHeight="false" outlineLevel="0" collapsed="false">
      <c r="J189" s="40"/>
    </row>
    <row r="190" customFormat="false" ht="15" hidden="false" customHeight="false" outlineLevel="0" collapsed="false">
      <c r="J190" s="40"/>
    </row>
    <row r="191" customFormat="false" ht="15" hidden="false" customHeight="false" outlineLevel="0" collapsed="false">
      <c r="J191" s="40"/>
    </row>
    <row r="192" customFormat="false" ht="15" hidden="false" customHeight="false" outlineLevel="0" collapsed="false">
      <c r="J192" s="40"/>
    </row>
    <row r="193" customFormat="false" ht="15" hidden="false" customHeight="false" outlineLevel="0" collapsed="false">
      <c r="J193" s="40"/>
    </row>
    <row r="194" customFormat="false" ht="15" hidden="false" customHeight="false" outlineLevel="0" collapsed="false">
      <c r="J194" s="40"/>
    </row>
    <row r="195" customFormat="false" ht="15" hidden="false" customHeight="false" outlineLevel="0" collapsed="false">
      <c r="J195" s="40"/>
    </row>
    <row r="196" customFormat="false" ht="15" hidden="false" customHeight="false" outlineLevel="0" collapsed="false">
      <c r="J196" s="40"/>
    </row>
    <row r="197" customFormat="false" ht="15" hidden="false" customHeight="false" outlineLevel="0" collapsed="false">
      <c r="J197" s="40"/>
    </row>
    <row r="198" customFormat="false" ht="15" hidden="false" customHeight="false" outlineLevel="0" collapsed="false">
      <c r="J198" s="40"/>
    </row>
    <row r="199" customFormat="false" ht="15" hidden="false" customHeight="false" outlineLevel="0" collapsed="false">
      <c r="J199" s="40"/>
    </row>
    <row r="200" customFormat="false" ht="15" hidden="false" customHeight="false" outlineLevel="0" collapsed="false">
      <c r="J200" s="40"/>
    </row>
    <row r="201" customFormat="false" ht="15" hidden="false" customHeight="false" outlineLevel="0" collapsed="false">
      <c r="J201" s="40"/>
    </row>
    <row r="202" customFormat="false" ht="15" hidden="false" customHeight="false" outlineLevel="0" collapsed="false">
      <c r="J202" s="40"/>
    </row>
    <row r="203" customFormat="false" ht="15" hidden="false" customHeight="false" outlineLevel="0" collapsed="false">
      <c r="J203" s="40"/>
    </row>
    <row r="204" customFormat="false" ht="15" hidden="false" customHeight="false" outlineLevel="0" collapsed="false">
      <c r="J204" s="40"/>
    </row>
    <row r="205" customFormat="false" ht="15" hidden="false" customHeight="false" outlineLevel="0" collapsed="false">
      <c r="J205" s="40"/>
    </row>
    <row r="206" customFormat="false" ht="15" hidden="false" customHeight="false" outlineLevel="0" collapsed="false">
      <c r="J206" s="40"/>
    </row>
    <row r="207" customFormat="false" ht="15" hidden="false" customHeight="false" outlineLevel="0" collapsed="false">
      <c r="J207" s="40"/>
    </row>
    <row r="208" customFormat="false" ht="15" hidden="false" customHeight="false" outlineLevel="0" collapsed="false">
      <c r="J208" s="40"/>
    </row>
    <row r="209" customFormat="false" ht="15" hidden="false" customHeight="false" outlineLevel="0" collapsed="false">
      <c r="J209" s="40"/>
    </row>
    <row r="210" customFormat="false" ht="15" hidden="false" customHeight="false" outlineLevel="0" collapsed="false">
      <c r="J210" s="40"/>
    </row>
    <row r="211" customFormat="false" ht="15" hidden="false" customHeight="false" outlineLevel="0" collapsed="false">
      <c r="J211" s="40"/>
    </row>
    <row r="212" customFormat="false" ht="15" hidden="false" customHeight="false" outlineLevel="0" collapsed="false">
      <c r="J212" s="40"/>
    </row>
    <row r="213" customFormat="false" ht="15" hidden="false" customHeight="false" outlineLevel="0" collapsed="false">
      <c r="J213" s="40"/>
    </row>
    <row r="214" customFormat="false" ht="15" hidden="false" customHeight="false" outlineLevel="0" collapsed="false">
      <c r="J214" s="40"/>
    </row>
    <row r="215" customFormat="false" ht="15" hidden="false" customHeight="false" outlineLevel="0" collapsed="false">
      <c r="J215" s="40"/>
    </row>
    <row r="216" customFormat="false" ht="15" hidden="false" customHeight="false" outlineLevel="0" collapsed="false">
      <c r="J216" s="40"/>
    </row>
    <row r="217" customFormat="false" ht="15" hidden="false" customHeight="false" outlineLevel="0" collapsed="false">
      <c r="J217" s="40"/>
    </row>
    <row r="218" customFormat="false" ht="15" hidden="false" customHeight="false" outlineLevel="0" collapsed="false">
      <c r="J218" s="40"/>
    </row>
    <row r="219" customFormat="false" ht="15" hidden="false" customHeight="false" outlineLevel="0" collapsed="false">
      <c r="J219" s="40"/>
    </row>
    <row r="220" customFormat="false" ht="15" hidden="false" customHeight="false" outlineLevel="0" collapsed="false">
      <c r="J220" s="40"/>
    </row>
    <row r="221" customFormat="false" ht="15" hidden="false" customHeight="false" outlineLevel="0" collapsed="false">
      <c r="J221" s="40"/>
    </row>
    <row r="222" customFormat="false" ht="15" hidden="false" customHeight="false" outlineLevel="0" collapsed="false">
      <c r="J222" s="40"/>
    </row>
    <row r="223" customFormat="false" ht="15" hidden="false" customHeight="false" outlineLevel="0" collapsed="false">
      <c r="J223" s="40"/>
    </row>
    <row r="224" customFormat="false" ht="15" hidden="false" customHeight="false" outlineLevel="0" collapsed="false">
      <c r="J224" s="40"/>
    </row>
    <row r="225" customFormat="false" ht="15" hidden="false" customHeight="false" outlineLevel="0" collapsed="false">
      <c r="J225" s="40"/>
    </row>
    <row r="226" customFormat="false" ht="15" hidden="false" customHeight="false" outlineLevel="0" collapsed="false">
      <c r="J226" s="40"/>
    </row>
    <row r="227" customFormat="false" ht="15" hidden="false" customHeight="false" outlineLevel="0" collapsed="false">
      <c r="J227" s="40"/>
    </row>
    <row r="228" customFormat="false" ht="15" hidden="false" customHeight="false" outlineLevel="0" collapsed="false">
      <c r="J228" s="40"/>
    </row>
    <row r="229" customFormat="false" ht="15" hidden="false" customHeight="false" outlineLevel="0" collapsed="false">
      <c r="J229" s="40"/>
    </row>
    <row r="230" customFormat="false" ht="15" hidden="false" customHeight="false" outlineLevel="0" collapsed="false">
      <c r="J230" s="40"/>
    </row>
    <row r="231" customFormat="false" ht="15" hidden="false" customHeight="false" outlineLevel="0" collapsed="false">
      <c r="J231" s="40"/>
    </row>
    <row r="232" customFormat="false" ht="15" hidden="false" customHeight="false" outlineLevel="0" collapsed="false">
      <c r="J232" s="40"/>
    </row>
    <row r="233" customFormat="false" ht="15" hidden="false" customHeight="false" outlineLevel="0" collapsed="false">
      <c r="J233" s="40"/>
    </row>
    <row r="234" customFormat="false" ht="15" hidden="false" customHeight="false" outlineLevel="0" collapsed="false">
      <c r="J234" s="40"/>
    </row>
    <row r="235" customFormat="false" ht="15" hidden="false" customHeight="false" outlineLevel="0" collapsed="false">
      <c r="J235" s="40"/>
    </row>
    <row r="236" customFormat="false" ht="15" hidden="false" customHeight="false" outlineLevel="0" collapsed="false">
      <c r="J236" s="40"/>
    </row>
    <row r="237" customFormat="false" ht="15" hidden="false" customHeight="false" outlineLevel="0" collapsed="false">
      <c r="J237" s="40"/>
    </row>
    <row r="238" customFormat="false" ht="15" hidden="false" customHeight="false" outlineLevel="0" collapsed="false">
      <c r="J238" s="40"/>
    </row>
    <row r="239" customFormat="false" ht="15" hidden="false" customHeight="false" outlineLevel="0" collapsed="false">
      <c r="J239" s="40"/>
    </row>
    <row r="240" customFormat="false" ht="15" hidden="false" customHeight="false" outlineLevel="0" collapsed="false">
      <c r="J240" s="40"/>
    </row>
    <row r="241" customFormat="false" ht="15" hidden="false" customHeight="false" outlineLevel="0" collapsed="false">
      <c r="J241" s="40"/>
    </row>
    <row r="242" customFormat="false" ht="15" hidden="false" customHeight="false" outlineLevel="0" collapsed="false">
      <c r="J242" s="40"/>
    </row>
    <row r="243" customFormat="false" ht="15" hidden="false" customHeight="false" outlineLevel="0" collapsed="false">
      <c r="J243" s="40"/>
    </row>
    <row r="244" customFormat="false" ht="15" hidden="false" customHeight="false" outlineLevel="0" collapsed="false">
      <c r="J244" s="40"/>
    </row>
    <row r="245" customFormat="false" ht="15" hidden="false" customHeight="false" outlineLevel="0" collapsed="false">
      <c r="J245" s="40"/>
    </row>
    <row r="246" customFormat="false" ht="15" hidden="false" customHeight="false" outlineLevel="0" collapsed="false">
      <c r="J246" s="40"/>
    </row>
    <row r="247" customFormat="false" ht="15" hidden="false" customHeight="false" outlineLevel="0" collapsed="false">
      <c r="J247" s="40"/>
    </row>
    <row r="248" customFormat="false" ht="15" hidden="false" customHeight="false" outlineLevel="0" collapsed="false">
      <c r="J248" s="40"/>
    </row>
    <row r="249" customFormat="false" ht="15" hidden="false" customHeight="false" outlineLevel="0" collapsed="false">
      <c r="J249" s="40"/>
    </row>
    <row r="250" customFormat="false" ht="15" hidden="false" customHeight="false" outlineLevel="0" collapsed="false">
      <c r="J250" s="40"/>
    </row>
    <row r="251" customFormat="false" ht="15" hidden="false" customHeight="false" outlineLevel="0" collapsed="false">
      <c r="J251" s="40"/>
    </row>
    <row r="252" customFormat="false" ht="15" hidden="false" customHeight="false" outlineLevel="0" collapsed="false">
      <c r="J252" s="40"/>
    </row>
    <row r="253" customFormat="false" ht="15" hidden="false" customHeight="false" outlineLevel="0" collapsed="false">
      <c r="J253" s="40"/>
    </row>
    <row r="254" customFormat="false" ht="15" hidden="false" customHeight="false" outlineLevel="0" collapsed="false">
      <c r="J254" s="40"/>
    </row>
    <row r="255" customFormat="false" ht="15" hidden="false" customHeight="false" outlineLevel="0" collapsed="false">
      <c r="J255" s="40"/>
    </row>
    <row r="256" customFormat="false" ht="15" hidden="false" customHeight="false" outlineLevel="0" collapsed="false">
      <c r="J256" s="40"/>
    </row>
    <row r="257" customFormat="false" ht="15" hidden="false" customHeight="false" outlineLevel="0" collapsed="false">
      <c r="J257" s="40"/>
    </row>
    <row r="258" customFormat="false" ht="15" hidden="false" customHeight="false" outlineLevel="0" collapsed="false">
      <c r="J258" s="40"/>
    </row>
    <row r="259" customFormat="false" ht="15" hidden="false" customHeight="false" outlineLevel="0" collapsed="false">
      <c r="J259" s="40"/>
    </row>
    <row r="260" customFormat="false" ht="15" hidden="false" customHeight="false" outlineLevel="0" collapsed="false">
      <c r="J260" s="40"/>
    </row>
    <row r="261" customFormat="false" ht="15" hidden="false" customHeight="false" outlineLevel="0" collapsed="false">
      <c r="J261" s="40"/>
    </row>
    <row r="262" customFormat="false" ht="15" hidden="false" customHeight="false" outlineLevel="0" collapsed="false">
      <c r="J262" s="40"/>
    </row>
    <row r="263" customFormat="false" ht="15" hidden="false" customHeight="false" outlineLevel="0" collapsed="false">
      <c r="J263" s="40"/>
    </row>
    <row r="264" customFormat="false" ht="15" hidden="false" customHeight="false" outlineLevel="0" collapsed="false">
      <c r="J264" s="40"/>
    </row>
    <row r="265" customFormat="false" ht="15" hidden="false" customHeight="false" outlineLevel="0" collapsed="false">
      <c r="J265" s="40"/>
    </row>
    <row r="266" customFormat="false" ht="15" hidden="false" customHeight="false" outlineLevel="0" collapsed="false">
      <c r="J266" s="40"/>
    </row>
    <row r="267" customFormat="false" ht="15" hidden="false" customHeight="false" outlineLevel="0" collapsed="false">
      <c r="J267" s="40"/>
    </row>
    <row r="268" customFormat="false" ht="15" hidden="false" customHeight="false" outlineLevel="0" collapsed="false">
      <c r="J268" s="40"/>
    </row>
    <row r="269" customFormat="false" ht="15" hidden="false" customHeight="false" outlineLevel="0" collapsed="false">
      <c r="J269" s="40"/>
    </row>
    <row r="270" customFormat="false" ht="15" hidden="false" customHeight="false" outlineLevel="0" collapsed="false">
      <c r="J270" s="40"/>
    </row>
    <row r="271" customFormat="false" ht="15" hidden="false" customHeight="false" outlineLevel="0" collapsed="false">
      <c r="J271" s="40"/>
    </row>
    <row r="272" customFormat="false" ht="15" hidden="false" customHeight="false" outlineLevel="0" collapsed="false">
      <c r="J272" s="40"/>
    </row>
    <row r="273" customFormat="false" ht="15" hidden="false" customHeight="false" outlineLevel="0" collapsed="false">
      <c r="J273" s="40"/>
    </row>
    <row r="274" customFormat="false" ht="15" hidden="false" customHeight="false" outlineLevel="0" collapsed="false">
      <c r="J274" s="40"/>
    </row>
    <row r="275" customFormat="false" ht="15" hidden="false" customHeight="false" outlineLevel="0" collapsed="false">
      <c r="J275" s="40"/>
    </row>
    <row r="276" customFormat="false" ht="15" hidden="false" customHeight="false" outlineLevel="0" collapsed="false">
      <c r="J276" s="40"/>
    </row>
    <row r="277" customFormat="false" ht="15" hidden="false" customHeight="false" outlineLevel="0" collapsed="false">
      <c r="J277" s="40"/>
    </row>
    <row r="278" customFormat="false" ht="15" hidden="false" customHeight="false" outlineLevel="0" collapsed="false">
      <c r="J278" s="40"/>
    </row>
    <row r="279" customFormat="false" ht="15" hidden="false" customHeight="false" outlineLevel="0" collapsed="false">
      <c r="J279" s="40"/>
    </row>
    <row r="280" customFormat="false" ht="15" hidden="false" customHeight="false" outlineLevel="0" collapsed="false">
      <c r="J280" s="40"/>
    </row>
    <row r="281" customFormat="false" ht="15" hidden="false" customHeight="false" outlineLevel="0" collapsed="false">
      <c r="J281" s="40"/>
    </row>
    <row r="282" customFormat="false" ht="15" hidden="false" customHeight="false" outlineLevel="0" collapsed="false">
      <c r="J282" s="40"/>
    </row>
    <row r="283" customFormat="false" ht="15" hidden="false" customHeight="false" outlineLevel="0" collapsed="false">
      <c r="J283" s="40"/>
    </row>
    <row r="284" customFormat="false" ht="15" hidden="false" customHeight="false" outlineLevel="0" collapsed="false">
      <c r="J284" s="40"/>
    </row>
    <row r="285" customFormat="false" ht="15" hidden="false" customHeight="false" outlineLevel="0" collapsed="false">
      <c r="J285" s="40"/>
    </row>
    <row r="286" customFormat="false" ht="15" hidden="false" customHeight="false" outlineLevel="0" collapsed="false">
      <c r="J286" s="40"/>
    </row>
    <row r="287" customFormat="false" ht="15" hidden="false" customHeight="false" outlineLevel="0" collapsed="false">
      <c r="J287" s="40"/>
    </row>
    <row r="288" customFormat="false" ht="15" hidden="false" customHeight="false" outlineLevel="0" collapsed="false">
      <c r="J288" s="40"/>
    </row>
    <row r="289" customFormat="false" ht="15" hidden="false" customHeight="false" outlineLevel="0" collapsed="false">
      <c r="J289" s="40"/>
    </row>
    <row r="290" customFormat="false" ht="15" hidden="false" customHeight="false" outlineLevel="0" collapsed="false">
      <c r="J290" s="40"/>
    </row>
    <row r="291" customFormat="false" ht="15" hidden="false" customHeight="false" outlineLevel="0" collapsed="false">
      <c r="J291" s="40"/>
    </row>
    <row r="292" customFormat="false" ht="15" hidden="false" customHeight="false" outlineLevel="0" collapsed="false">
      <c r="J292" s="40"/>
    </row>
    <row r="293" customFormat="false" ht="15" hidden="false" customHeight="false" outlineLevel="0" collapsed="false">
      <c r="J293" s="40"/>
    </row>
    <row r="294" customFormat="false" ht="15" hidden="false" customHeight="false" outlineLevel="0" collapsed="false">
      <c r="J294" s="40"/>
    </row>
    <row r="295" customFormat="false" ht="15" hidden="false" customHeight="false" outlineLevel="0" collapsed="false">
      <c r="J295" s="40"/>
    </row>
    <row r="296" customFormat="false" ht="15" hidden="false" customHeight="false" outlineLevel="0" collapsed="false">
      <c r="J296" s="40"/>
    </row>
    <row r="297" customFormat="false" ht="15" hidden="false" customHeight="false" outlineLevel="0" collapsed="false">
      <c r="J297" s="40"/>
    </row>
    <row r="298" customFormat="false" ht="15" hidden="false" customHeight="false" outlineLevel="0" collapsed="false">
      <c r="J298" s="40"/>
    </row>
    <row r="299" customFormat="false" ht="15" hidden="false" customHeight="false" outlineLevel="0" collapsed="false">
      <c r="J299" s="40"/>
    </row>
    <row r="300" customFormat="false" ht="15" hidden="false" customHeight="false" outlineLevel="0" collapsed="false">
      <c r="J300" s="40"/>
    </row>
    <row r="301" customFormat="false" ht="15" hidden="false" customHeight="false" outlineLevel="0" collapsed="false">
      <c r="J301" s="40"/>
    </row>
    <row r="302" customFormat="false" ht="15" hidden="false" customHeight="false" outlineLevel="0" collapsed="false">
      <c r="J302" s="40"/>
    </row>
    <row r="303" customFormat="false" ht="15" hidden="false" customHeight="false" outlineLevel="0" collapsed="false">
      <c r="J303" s="40"/>
    </row>
    <row r="304" customFormat="false" ht="15" hidden="false" customHeight="false" outlineLevel="0" collapsed="false">
      <c r="J304" s="40"/>
    </row>
    <row r="305" customFormat="false" ht="15" hidden="false" customHeight="false" outlineLevel="0" collapsed="false">
      <c r="J305" s="40"/>
    </row>
    <row r="306" customFormat="false" ht="15" hidden="false" customHeight="false" outlineLevel="0" collapsed="false">
      <c r="J306" s="40"/>
    </row>
    <row r="307" customFormat="false" ht="15" hidden="false" customHeight="false" outlineLevel="0" collapsed="false">
      <c r="J307" s="40"/>
    </row>
    <row r="308" customFormat="false" ht="15" hidden="false" customHeight="false" outlineLevel="0" collapsed="false">
      <c r="J308" s="40"/>
    </row>
    <row r="309" customFormat="false" ht="15" hidden="false" customHeight="false" outlineLevel="0" collapsed="false">
      <c r="J309" s="40"/>
    </row>
    <row r="310" customFormat="false" ht="15" hidden="false" customHeight="false" outlineLevel="0" collapsed="false">
      <c r="J310" s="40"/>
    </row>
    <row r="311" customFormat="false" ht="15" hidden="false" customHeight="false" outlineLevel="0" collapsed="false">
      <c r="J311" s="40"/>
    </row>
    <row r="312" customFormat="false" ht="15" hidden="false" customHeight="false" outlineLevel="0" collapsed="false">
      <c r="J312" s="40"/>
    </row>
    <row r="313" customFormat="false" ht="15" hidden="false" customHeight="false" outlineLevel="0" collapsed="false">
      <c r="J313" s="40"/>
    </row>
    <row r="314" customFormat="false" ht="15" hidden="false" customHeight="false" outlineLevel="0" collapsed="false">
      <c r="J314" s="40"/>
    </row>
    <row r="315" customFormat="false" ht="15" hidden="false" customHeight="false" outlineLevel="0" collapsed="false">
      <c r="J315" s="40"/>
    </row>
    <row r="316" customFormat="false" ht="15" hidden="false" customHeight="false" outlineLevel="0" collapsed="false">
      <c r="J316" s="40"/>
    </row>
    <row r="317" customFormat="false" ht="15" hidden="false" customHeight="false" outlineLevel="0" collapsed="false">
      <c r="J317" s="40"/>
    </row>
    <row r="318" customFormat="false" ht="15" hidden="false" customHeight="false" outlineLevel="0" collapsed="false">
      <c r="J318" s="40"/>
    </row>
    <row r="319" customFormat="false" ht="15" hidden="false" customHeight="false" outlineLevel="0" collapsed="false">
      <c r="J319" s="40"/>
    </row>
    <row r="320" customFormat="false" ht="15" hidden="false" customHeight="false" outlineLevel="0" collapsed="false">
      <c r="J320" s="40"/>
    </row>
    <row r="321" customFormat="false" ht="15" hidden="false" customHeight="false" outlineLevel="0" collapsed="false">
      <c r="J321" s="40"/>
    </row>
    <row r="322" customFormat="false" ht="15" hidden="false" customHeight="false" outlineLevel="0" collapsed="false">
      <c r="J322" s="40"/>
    </row>
    <row r="323" customFormat="false" ht="15" hidden="false" customHeight="false" outlineLevel="0" collapsed="false">
      <c r="J323" s="40"/>
    </row>
    <row r="324" customFormat="false" ht="15" hidden="false" customHeight="false" outlineLevel="0" collapsed="false">
      <c r="J324" s="40"/>
    </row>
    <row r="325" customFormat="false" ht="15" hidden="false" customHeight="false" outlineLevel="0" collapsed="false">
      <c r="J325" s="40"/>
    </row>
    <row r="326" customFormat="false" ht="15" hidden="false" customHeight="false" outlineLevel="0" collapsed="false">
      <c r="J326" s="40"/>
    </row>
    <row r="327" customFormat="false" ht="15" hidden="false" customHeight="false" outlineLevel="0" collapsed="false">
      <c r="J327" s="40"/>
    </row>
    <row r="328" customFormat="false" ht="15" hidden="false" customHeight="false" outlineLevel="0" collapsed="false">
      <c r="J328" s="40"/>
    </row>
    <row r="329" customFormat="false" ht="15" hidden="false" customHeight="false" outlineLevel="0" collapsed="false">
      <c r="J329" s="40"/>
    </row>
    <row r="330" customFormat="false" ht="15" hidden="false" customHeight="false" outlineLevel="0" collapsed="false">
      <c r="J330" s="40"/>
    </row>
    <row r="331" customFormat="false" ht="15" hidden="false" customHeight="false" outlineLevel="0" collapsed="false">
      <c r="J331" s="40"/>
    </row>
    <row r="332" customFormat="false" ht="15" hidden="false" customHeight="false" outlineLevel="0" collapsed="false">
      <c r="J332" s="40"/>
    </row>
    <row r="333" customFormat="false" ht="15" hidden="false" customHeight="false" outlineLevel="0" collapsed="false">
      <c r="J333" s="40"/>
    </row>
    <row r="334" customFormat="false" ht="15" hidden="false" customHeight="false" outlineLevel="0" collapsed="false">
      <c r="J334" s="40"/>
    </row>
    <row r="335" customFormat="false" ht="15" hidden="false" customHeight="false" outlineLevel="0" collapsed="false">
      <c r="J335" s="40"/>
    </row>
    <row r="336" customFormat="false" ht="15" hidden="false" customHeight="false" outlineLevel="0" collapsed="false">
      <c r="J336" s="40"/>
    </row>
    <row r="337" customFormat="false" ht="15" hidden="false" customHeight="false" outlineLevel="0" collapsed="false">
      <c r="J337" s="40"/>
    </row>
    <row r="338" customFormat="false" ht="15" hidden="false" customHeight="false" outlineLevel="0" collapsed="false">
      <c r="J338" s="40"/>
    </row>
    <row r="339" customFormat="false" ht="15" hidden="false" customHeight="false" outlineLevel="0" collapsed="false">
      <c r="J339" s="40"/>
    </row>
    <row r="340" customFormat="false" ht="15" hidden="false" customHeight="false" outlineLevel="0" collapsed="false">
      <c r="J340" s="40"/>
    </row>
    <row r="341" customFormat="false" ht="15" hidden="false" customHeight="false" outlineLevel="0" collapsed="false">
      <c r="J341" s="40"/>
    </row>
    <row r="342" customFormat="false" ht="15" hidden="false" customHeight="false" outlineLevel="0" collapsed="false">
      <c r="J342" s="40"/>
    </row>
    <row r="343" customFormat="false" ht="15" hidden="false" customHeight="false" outlineLevel="0" collapsed="false">
      <c r="J343" s="40"/>
    </row>
    <row r="344" customFormat="false" ht="15" hidden="false" customHeight="false" outlineLevel="0" collapsed="false">
      <c r="J344" s="40"/>
    </row>
    <row r="345" customFormat="false" ht="15" hidden="false" customHeight="false" outlineLevel="0" collapsed="false">
      <c r="J345" s="40"/>
    </row>
    <row r="346" customFormat="false" ht="15" hidden="false" customHeight="false" outlineLevel="0" collapsed="false">
      <c r="J346" s="40"/>
    </row>
    <row r="347" customFormat="false" ht="15" hidden="false" customHeight="false" outlineLevel="0" collapsed="false">
      <c r="J347" s="40"/>
    </row>
    <row r="348" customFormat="false" ht="15" hidden="false" customHeight="false" outlineLevel="0" collapsed="false">
      <c r="J348" s="40"/>
    </row>
    <row r="349" customFormat="false" ht="15" hidden="false" customHeight="false" outlineLevel="0" collapsed="false">
      <c r="J349" s="40"/>
    </row>
    <row r="350" customFormat="false" ht="15" hidden="false" customHeight="false" outlineLevel="0" collapsed="false">
      <c r="J350" s="40"/>
    </row>
    <row r="351" customFormat="false" ht="15" hidden="false" customHeight="false" outlineLevel="0" collapsed="false">
      <c r="J351" s="40"/>
    </row>
    <row r="352" customFormat="false" ht="15" hidden="false" customHeight="false" outlineLevel="0" collapsed="false">
      <c r="J352" s="40"/>
    </row>
    <row r="353" customFormat="false" ht="15" hidden="false" customHeight="false" outlineLevel="0" collapsed="false">
      <c r="J353" s="40"/>
    </row>
    <row r="354" customFormat="false" ht="15" hidden="false" customHeight="false" outlineLevel="0" collapsed="false">
      <c r="J354" s="40"/>
    </row>
    <row r="355" customFormat="false" ht="15" hidden="false" customHeight="false" outlineLevel="0" collapsed="false">
      <c r="J355" s="40"/>
    </row>
    <row r="356" customFormat="false" ht="15" hidden="false" customHeight="false" outlineLevel="0" collapsed="false">
      <c r="J356" s="40"/>
    </row>
    <row r="357" customFormat="false" ht="15" hidden="false" customHeight="false" outlineLevel="0" collapsed="false">
      <c r="J357" s="40"/>
    </row>
    <row r="358" customFormat="false" ht="15" hidden="false" customHeight="false" outlineLevel="0" collapsed="false">
      <c r="J358" s="40"/>
    </row>
    <row r="359" customFormat="false" ht="15" hidden="false" customHeight="false" outlineLevel="0" collapsed="false">
      <c r="J359" s="40"/>
    </row>
    <row r="360" customFormat="false" ht="15" hidden="false" customHeight="false" outlineLevel="0" collapsed="false">
      <c r="J360" s="40"/>
    </row>
    <row r="361" customFormat="false" ht="15" hidden="false" customHeight="false" outlineLevel="0" collapsed="false">
      <c r="J361" s="40"/>
    </row>
    <row r="362" customFormat="false" ht="15" hidden="false" customHeight="false" outlineLevel="0" collapsed="false">
      <c r="J362" s="40"/>
    </row>
    <row r="363" customFormat="false" ht="15" hidden="false" customHeight="false" outlineLevel="0" collapsed="false">
      <c r="J363" s="40"/>
    </row>
    <row r="364" customFormat="false" ht="15" hidden="false" customHeight="false" outlineLevel="0" collapsed="false">
      <c r="J364" s="40"/>
    </row>
    <row r="365" customFormat="false" ht="15" hidden="false" customHeight="false" outlineLevel="0" collapsed="false">
      <c r="J365" s="40"/>
    </row>
    <row r="366" customFormat="false" ht="15" hidden="false" customHeight="false" outlineLevel="0" collapsed="false">
      <c r="J366" s="40"/>
    </row>
    <row r="367" customFormat="false" ht="15" hidden="false" customHeight="false" outlineLevel="0" collapsed="false">
      <c r="J367" s="40"/>
    </row>
    <row r="368" customFormat="false" ht="15" hidden="false" customHeight="false" outlineLevel="0" collapsed="false">
      <c r="J368" s="40"/>
    </row>
    <row r="369" customFormat="false" ht="15" hidden="false" customHeight="false" outlineLevel="0" collapsed="false">
      <c r="J369" s="40"/>
    </row>
    <row r="370" customFormat="false" ht="15" hidden="false" customHeight="false" outlineLevel="0" collapsed="false">
      <c r="J370" s="40"/>
    </row>
    <row r="371" customFormat="false" ht="15" hidden="false" customHeight="false" outlineLevel="0" collapsed="false">
      <c r="J371" s="40"/>
    </row>
    <row r="372" customFormat="false" ht="15" hidden="false" customHeight="false" outlineLevel="0" collapsed="false">
      <c r="J372" s="40"/>
    </row>
    <row r="373" customFormat="false" ht="15" hidden="false" customHeight="false" outlineLevel="0" collapsed="false">
      <c r="J373" s="40"/>
    </row>
    <row r="374" customFormat="false" ht="15" hidden="false" customHeight="false" outlineLevel="0" collapsed="false">
      <c r="J374" s="40"/>
    </row>
    <row r="375" customFormat="false" ht="15" hidden="false" customHeight="false" outlineLevel="0" collapsed="false">
      <c r="J375" s="40"/>
    </row>
    <row r="376" customFormat="false" ht="15" hidden="false" customHeight="false" outlineLevel="0" collapsed="false">
      <c r="J376" s="40"/>
    </row>
    <row r="377" customFormat="false" ht="15" hidden="false" customHeight="false" outlineLevel="0" collapsed="false">
      <c r="J377" s="40"/>
    </row>
    <row r="378" customFormat="false" ht="15" hidden="false" customHeight="false" outlineLevel="0" collapsed="false">
      <c r="J378" s="40"/>
    </row>
    <row r="379" customFormat="false" ht="15" hidden="false" customHeight="false" outlineLevel="0" collapsed="false">
      <c r="J379" s="40"/>
    </row>
    <row r="380" customFormat="false" ht="15" hidden="false" customHeight="false" outlineLevel="0" collapsed="false">
      <c r="J380" s="40"/>
    </row>
    <row r="381" customFormat="false" ht="15" hidden="false" customHeight="false" outlineLevel="0" collapsed="false">
      <c r="J381" s="40"/>
    </row>
    <row r="382" customFormat="false" ht="15" hidden="false" customHeight="false" outlineLevel="0" collapsed="false">
      <c r="J382" s="40"/>
    </row>
    <row r="383" customFormat="false" ht="15" hidden="false" customHeight="false" outlineLevel="0" collapsed="false">
      <c r="J383" s="40"/>
    </row>
    <row r="384" customFormat="false" ht="15" hidden="false" customHeight="false" outlineLevel="0" collapsed="false">
      <c r="J384" s="40"/>
    </row>
    <row r="385" customFormat="false" ht="15" hidden="false" customHeight="false" outlineLevel="0" collapsed="false">
      <c r="J385" s="40"/>
    </row>
    <row r="386" customFormat="false" ht="15" hidden="false" customHeight="false" outlineLevel="0" collapsed="false">
      <c r="J386" s="40"/>
    </row>
    <row r="387" customFormat="false" ht="15" hidden="false" customHeight="false" outlineLevel="0" collapsed="false">
      <c r="J387" s="40"/>
    </row>
    <row r="388" customFormat="false" ht="15" hidden="false" customHeight="false" outlineLevel="0" collapsed="false">
      <c r="J388" s="40"/>
    </row>
    <row r="389" customFormat="false" ht="15" hidden="false" customHeight="false" outlineLevel="0" collapsed="false">
      <c r="J389" s="40"/>
    </row>
    <row r="390" customFormat="false" ht="15" hidden="false" customHeight="false" outlineLevel="0" collapsed="false">
      <c r="J390" s="40"/>
    </row>
    <row r="391" customFormat="false" ht="15" hidden="false" customHeight="false" outlineLevel="0" collapsed="false">
      <c r="J391" s="40"/>
    </row>
    <row r="392" customFormat="false" ht="15" hidden="false" customHeight="false" outlineLevel="0" collapsed="false">
      <c r="J392" s="40"/>
    </row>
    <row r="393" customFormat="false" ht="15" hidden="false" customHeight="false" outlineLevel="0" collapsed="false">
      <c r="J393" s="40"/>
    </row>
    <row r="394" customFormat="false" ht="15" hidden="false" customHeight="false" outlineLevel="0" collapsed="false">
      <c r="J394" s="40"/>
    </row>
    <row r="395" customFormat="false" ht="15" hidden="false" customHeight="false" outlineLevel="0" collapsed="false">
      <c r="J395" s="40"/>
    </row>
    <row r="396" customFormat="false" ht="15" hidden="false" customHeight="false" outlineLevel="0" collapsed="false">
      <c r="J396" s="40"/>
    </row>
    <row r="397" customFormat="false" ht="15" hidden="false" customHeight="false" outlineLevel="0" collapsed="false">
      <c r="J397" s="40"/>
    </row>
    <row r="398" customFormat="false" ht="15" hidden="false" customHeight="false" outlineLevel="0" collapsed="false">
      <c r="J398" s="40"/>
    </row>
    <row r="399" customFormat="false" ht="15" hidden="false" customHeight="false" outlineLevel="0" collapsed="false">
      <c r="J399" s="40"/>
    </row>
    <row r="400" customFormat="false" ht="15" hidden="false" customHeight="false" outlineLevel="0" collapsed="false">
      <c r="J400" s="40"/>
    </row>
    <row r="401" customFormat="false" ht="15" hidden="false" customHeight="false" outlineLevel="0" collapsed="false">
      <c r="J401" s="40"/>
    </row>
    <row r="402" customFormat="false" ht="15" hidden="false" customHeight="false" outlineLevel="0" collapsed="false">
      <c r="J402" s="40"/>
    </row>
    <row r="403" customFormat="false" ht="15" hidden="false" customHeight="false" outlineLevel="0" collapsed="false">
      <c r="J403" s="40"/>
    </row>
    <row r="404" customFormat="false" ht="15" hidden="false" customHeight="false" outlineLevel="0" collapsed="false">
      <c r="J404" s="40"/>
    </row>
    <row r="405" customFormat="false" ht="15" hidden="false" customHeight="false" outlineLevel="0" collapsed="false">
      <c r="J405" s="40"/>
    </row>
    <row r="406" customFormat="false" ht="15" hidden="false" customHeight="false" outlineLevel="0" collapsed="false">
      <c r="J406" s="40"/>
    </row>
    <row r="407" customFormat="false" ht="15" hidden="false" customHeight="false" outlineLevel="0" collapsed="false">
      <c r="J407" s="40"/>
    </row>
    <row r="408" customFormat="false" ht="15" hidden="false" customHeight="false" outlineLevel="0" collapsed="false">
      <c r="J408" s="40"/>
    </row>
    <row r="409" customFormat="false" ht="15" hidden="false" customHeight="false" outlineLevel="0" collapsed="false">
      <c r="J409" s="40"/>
    </row>
    <row r="410" customFormat="false" ht="15" hidden="false" customHeight="false" outlineLevel="0" collapsed="false">
      <c r="J410" s="40"/>
    </row>
    <row r="411" customFormat="false" ht="15" hidden="false" customHeight="false" outlineLevel="0" collapsed="false">
      <c r="J411" s="40"/>
    </row>
    <row r="412" customFormat="false" ht="15" hidden="false" customHeight="false" outlineLevel="0" collapsed="false">
      <c r="J412" s="40"/>
    </row>
    <row r="413" customFormat="false" ht="15" hidden="false" customHeight="false" outlineLevel="0" collapsed="false">
      <c r="J413" s="40"/>
    </row>
    <row r="414" customFormat="false" ht="15" hidden="false" customHeight="false" outlineLevel="0" collapsed="false">
      <c r="J414" s="40"/>
    </row>
    <row r="415" customFormat="false" ht="15" hidden="false" customHeight="false" outlineLevel="0" collapsed="false">
      <c r="J415" s="40"/>
    </row>
    <row r="416" customFormat="false" ht="15" hidden="false" customHeight="false" outlineLevel="0" collapsed="false">
      <c r="J416" s="40"/>
    </row>
    <row r="417" customFormat="false" ht="15" hidden="false" customHeight="false" outlineLevel="0" collapsed="false">
      <c r="J417" s="40"/>
    </row>
    <row r="418" customFormat="false" ht="15" hidden="false" customHeight="false" outlineLevel="0" collapsed="false">
      <c r="J418" s="40"/>
    </row>
    <row r="419" customFormat="false" ht="15" hidden="false" customHeight="false" outlineLevel="0" collapsed="false">
      <c r="J419" s="40"/>
    </row>
    <row r="420" customFormat="false" ht="15" hidden="false" customHeight="false" outlineLevel="0" collapsed="false">
      <c r="J420" s="40"/>
    </row>
    <row r="421" customFormat="false" ht="15" hidden="false" customHeight="false" outlineLevel="0" collapsed="false">
      <c r="J421" s="40"/>
    </row>
    <row r="422" customFormat="false" ht="15" hidden="false" customHeight="false" outlineLevel="0" collapsed="false">
      <c r="J422" s="40"/>
    </row>
    <row r="423" customFormat="false" ht="15" hidden="false" customHeight="false" outlineLevel="0" collapsed="false">
      <c r="J423" s="40"/>
    </row>
    <row r="424" customFormat="false" ht="15" hidden="false" customHeight="false" outlineLevel="0" collapsed="false">
      <c r="J424" s="40"/>
    </row>
    <row r="425" customFormat="false" ht="15" hidden="false" customHeight="false" outlineLevel="0" collapsed="false">
      <c r="J425" s="40"/>
    </row>
    <row r="426" customFormat="false" ht="15" hidden="false" customHeight="false" outlineLevel="0" collapsed="false">
      <c r="J426" s="40"/>
    </row>
    <row r="427" customFormat="false" ht="15" hidden="false" customHeight="false" outlineLevel="0" collapsed="false">
      <c r="J427" s="40"/>
    </row>
    <row r="428" customFormat="false" ht="15" hidden="false" customHeight="false" outlineLevel="0" collapsed="false">
      <c r="J428" s="40"/>
    </row>
    <row r="429" customFormat="false" ht="15" hidden="false" customHeight="false" outlineLevel="0" collapsed="false">
      <c r="J429" s="40"/>
    </row>
    <row r="430" customFormat="false" ht="15" hidden="false" customHeight="false" outlineLevel="0" collapsed="false">
      <c r="J430" s="40"/>
    </row>
    <row r="431" customFormat="false" ht="15" hidden="false" customHeight="false" outlineLevel="0" collapsed="false">
      <c r="J431" s="40"/>
    </row>
    <row r="432" customFormat="false" ht="15" hidden="false" customHeight="false" outlineLevel="0" collapsed="false">
      <c r="J432" s="40"/>
    </row>
    <row r="433" customFormat="false" ht="15" hidden="false" customHeight="false" outlineLevel="0" collapsed="false">
      <c r="J433" s="40"/>
    </row>
    <row r="434" customFormat="false" ht="15" hidden="false" customHeight="false" outlineLevel="0" collapsed="false">
      <c r="J434" s="40"/>
    </row>
    <row r="435" customFormat="false" ht="15" hidden="false" customHeight="false" outlineLevel="0" collapsed="false">
      <c r="J435" s="40"/>
    </row>
    <row r="436" customFormat="false" ht="15" hidden="false" customHeight="false" outlineLevel="0" collapsed="false">
      <c r="J436" s="40"/>
    </row>
    <row r="437" customFormat="false" ht="15" hidden="false" customHeight="false" outlineLevel="0" collapsed="false">
      <c r="J437" s="40"/>
    </row>
    <row r="438" customFormat="false" ht="15" hidden="false" customHeight="false" outlineLevel="0" collapsed="false">
      <c r="J438" s="40"/>
    </row>
    <row r="439" customFormat="false" ht="15" hidden="false" customHeight="false" outlineLevel="0" collapsed="false">
      <c r="J439" s="40"/>
    </row>
    <row r="440" customFormat="false" ht="15" hidden="false" customHeight="false" outlineLevel="0" collapsed="false">
      <c r="J440" s="40"/>
    </row>
    <row r="441" customFormat="false" ht="15" hidden="false" customHeight="false" outlineLevel="0" collapsed="false">
      <c r="J441" s="40"/>
    </row>
    <row r="442" customFormat="false" ht="15" hidden="false" customHeight="false" outlineLevel="0" collapsed="false">
      <c r="J442" s="40"/>
    </row>
    <row r="443" customFormat="false" ht="15" hidden="false" customHeight="false" outlineLevel="0" collapsed="false">
      <c r="J443" s="40"/>
    </row>
    <row r="444" customFormat="false" ht="15" hidden="false" customHeight="false" outlineLevel="0" collapsed="false">
      <c r="J444" s="40"/>
    </row>
    <row r="445" customFormat="false" ht="15" hidden="false" customHeight="false" outlineLevel="0" collapsed="false">
      <c r="J445" s="40"/>
    </row>
    <row r="446" customFormat="false" ht="15" hidden="false" customHeight="false" outlineLevel="0" collapsed="false">
      <c r="J446" s="40"/>
    </row>
    <row r="447" customFormat="false" ht="15" hidden="false" customHeight="false" outlineLevel="0" collapsed="false">
      <c r="J447" s="40"/>
    </row>
    <row r="448" customFormat="false" ht="15" hidden="false" customHeight="false" outlineLevel="0" collapsed="false">
      <c r="J448" s="40"/>
    </row>
    <row r="449" customFormat="false" ht="15" hidden="false" customHeight="false" outlineLevel="0" collapsed="false">
      <c r="J449" s="40"/>
    </row>
    <row r="450" customFormat="false" ht="15" hidden="false" customHeight="false" outlineLevel="0" collapsed="false">
      <c r="J450" s="40"/>
    </row>
    <row r="451" customFormat="false" ht="15" hidden="false" customHeight="false" outlineLevel="0" collapsed="false">
      <c r="J451" s="40"/>
    </row>
    <row r="452" customFormat="false" ht="15" hidden="false" customHeight="false" outlineLevel="0" collapsed="false">
      <c r="J452" s="40"/>
    </row>
    <row r="453" customFormat="false" ht="15" hidden="false" customHeight="false" outlineLevel="0" collapsed="false">
      <c r="J453" s="40"/>
    </row>
    <row r="454" customFormat="false" ht="15" hidden="false" customHeight="false" outlineLevel="0" collapsed="false">
      <c r="J454" s="40"/>
    </row>
    <row r="455" customFormat="false" ht="15" hidden="false" customHeight="false" outlineLevel="0" collapsed="false">
      <c r="J455" s="40"/>
    </row>
    <row r="456" customFormat="false" ht="15" hidden="false" customHeight="false" outlineLevel="0" collapsed="false">
      <c r="J456" s="40"/>
    </row>
    <row r="457" customFormat="false" ht="15" hidden="false" customHeight="false" outlineLevel="0" collapsed="false">
      <c r="J457" s="40"/>
    </row>
    <row r="458" customFormat="false" ht="15" hidden="false" customHeight="false" outlineLevel="0" collapsed="false">
      <c r="J458" s="40"/>
    </row>
    <row r="459" customFormat="false" ht="15" hidden="false" customHeight="false" outlineLevel="0" collapsed="false">
      <c r="J459" s="40"/>
    </row>
    <row r="460" customFormat="false" ht="15" hidden="false" customHeight="false" outlineLevel="0" collapsed="false">
      <c r="J460" s="40"/>
    </row>
    <row r="461" customFormat="false" ht="15" hidden="false" customHeight="false" outlineLevel="0" collapsed="false">
      <c r="J461" s="40"/>
    </row>
    <row r="462" customFormat="false" ht="15" hidden="false" customHeight="false" outlineLevel="0" collapsed="false">
      <c r="J462" s="40"/>
    </row>
    <row r="463" customFormat="false" ht="15" hidden="false" customHeight="false" outlineLevel="0" collapsed="false">
      <c r="J463" s="40"/>
    </row>
    <row r="464" customFormat="false" ht="15" hidden="false" customHeight="false" outlineLevel="0" collapsed="false">
      <c r="J464" s="40"/>
    </row>
    <row r="465" customFormat="false" ht="15" hidden="false" customHeight="false" outlineLevel="0" collapsed="false">
      <c r="J465" s="40"/>
    </row>
    <row r="466" customFormat="false" ht="15" hidden="false" customHeight="false" outlineLevel="0" collapsed="false">
      <c r="J466" s="40"/>
    </row>
    <row r="467" customFormat="false" ht="15" hidden="false" customHeight="false" outlineLevel="0" collapsed="false">
      <c r="J467" s="40"/>
    </row>
    <row r="468" customFormat="false" ht="15" hidden="false" customHeight="false" outlineLevel="0" collapsed="false">
      <c r="J468" s="40"/>
    </row>
    <row r="469" customFormat="false" ht="15" hidden="false" customHeight="false" outlineLevel="0" collapsed="false">
      <c r="J469" s="40"/>
    </row>
    <row r="470" customFormat="false" ht="15" hidden="false" customHeight="false" outlineLevel="0" collapsed="false">
      <c r="J470" s="40"/>
    </row>
    <row r="471" customFormat="false" ht="15" hidden="false" customHeight="false" outlineLevel="0" collapsed="false">
      <c r="J471" s="40"/>
    </row>
    <row r="472" customFormat="false" ht="15" hidden="false" customHeight="false" outlineLevel="0" collapsed="false">
      <c r="J472" s="40"/>
    </row>
    <row r="473" customFormat="false" ht="15" hidden="false" customHeight="false" outlineLevel="0" collapsed="false">
      <c r="J473" s="40"/>
    </row>
    <row r="474" customFormat="false" ht="15" hidden="false" customHeight="false" outlineLevel="0" collapsed="false">
      <c r="J474" s="40"/>
    </row>
    <row r="475" customFormat="false" ht="15" hidden="false" customHeight="false" outlineLevel="0" collapsed="false">
      <c r="J475" s="40"/>
    </row>
    <row r="476" customFormat="false" ht="15" hidden="false" customHeight="false" outlineLevel="0" collapsed="false">
      <c r="J476" s="40"/>
    </row>
    <row r="477" customFormat="false" ht="15" hidden="false" customHeight="false" outlineLevel="0" collapsed="false">
      <c r="J477" s="40"/>
    </row>
    <row r="478" customFormat="false" ht="15" hidden="false" customHeight="false" outlineLevel="0" collapsed="false">
      <c r="J478" s="40"/>
    </row>
    <row r="479" customFormat="false" ht="15" hidden="false" customHeight="false" outlineLevel="0" collapsed="false">
      <c r="J479" s="40"/>
    </row>
    <row r="480" customFormat="false" ht="15" hidden="false" customHeight="false" outlineLevel="0" collapsed="false">
      <c r="J480" s="40"/>
    </row>
    <row r="481" customFormat="false" ht="15" hidden="false" customHeight="false" outlineLevel="0" collapsed="false">
      <c r="J481" s="40"/>
    </row>
    <row r="482" customFormat="false" ht="15" hidden="false" customHeight="false" outlineLevel="0" collapsed="false">
      <c r="J482" s="40"/>
    </row>
    <row r="483" customFormat="false" ht="15" hidden="false" customHeight="false" outlineLevel="0" collapsed="false">
      <c r="J483" s="40"/>
    </row>
    <row r="484" customFormat="false" ht="15" hidden="false" customHeight="false" outlineLevel="0" collapsed="false">
      <c r="J484" s="40"/>
    </row>
    <row r="485" customFormat="false" ht="15" hidden="false" customHeight="false" outlineLevel="0" collapsed="false">
      <c r="J485" s="40"/>
    </row>
    <row r="486" customFormat="false" ht="15" hidden="false" customHeight="false" outlineLevel="0" collapsed="false">
      <c r="J486" s="40"/>
    </row>
    <row r="487" customFormat="false" ht="15" hidden="false" customHeight="false" outlineLevel="0" collapsed="false">
      <c r="J487" s="40"/>
    </row>
    <row r="488" customFormat="false" ht="15" hidden="false" customHeight="false" outlineLevel="0" collapsed="false">
      <c r="J488" s="40"/>
    </row>
    <row r="489" customFormat="false" ht="15" hidden="false" customHeight="false" outlineLevel="0" collapsed="false">
      <c r="J489" s="40"/>
    </row>
    <row r="490" customFormat="false" ht="15" hidden="false" customHeight="false" outlineLevel="0" collapsed="false">
      <c r="J490" s="40"/>
    </row>
    <row r="491" customFormat="false" ht="15" hidden="false" customHeight="false" outlineLevel="0" collapsed="false">
      <c r="J491" s="40"/>
    </row>
    <row r="492" customFormat="false" ht="15" hidden="false" customHeight="false" outlineLevel="0" collapsed="false">
      <c r="J492" s="40"/>
    </row>
    <row r="493" customFormat="false" ht="15" hidden="false" customHeight="false" outlineLevel="0" collapsed="false">
      <c r="J493" s="40"/>
    </row>
    <row r="494" customFormat="false" ht="15" hidden="false" customHeight="false" outlineLevel="0" collapsed="false">
      <c r="J494" s="40"/>
    </row>
    <row r="495" customFormat="false" ht="15" hidden="false" customHeight="false" outlineLevel="0" collapsed="false">
      <c r="J495" s="40"/>
    </row>
    <row r="496" customFormat="false" ht="15" hidden="false" customHeight="false" outlineLevel="0" collapsed="false">
      <c r="J496" s="40"/>
    </row>
    <row r="497" customFormat="false" ht="15" hidden="false" customHeight="false" outlineLevel="0" collapsed="false">
      <c r="J497" s="40"/>
    </row>
    <row r="498" customFormat="false" ht="15" hidden="false" customHeight="false" outlineLevel="0" collapsed="false">
      <c r="J498" s="40"/>
    </row>
    <row r="499" customFormat="false" ht="15" hidden="false" customHeight="false" outlineLevel="0" collapsed="false">
      <c r="J499" s="40"/>
    </row>
    <row r="500" customFormat="false" ht="15" hidden="false" customHeight="false" outlineLevel="0" collapsed="false">
      <c r="J500" s="40"/>
    </row>
    <row r="501" customFormat="false" ht="15" hidden="false" customHeight="false" outlineLevel="0" collapsed="false">
      <c r="J501" s="40"/>
    </row>
    <row r="502" customFormat="false" ht="15" hidden="false" customHeight="false" outlineLevel="0" collapsed="false">
      <c r="J502" s="40"/>
    </row>
    <row r="503" customFormat="false" ht="15" hidden="false" customHeight="false" outlineLevel="0" collapsed="false">
      <c r="J503" s="40"/>
    </row>
    <row r="504" customFormat="false" ht="15" hidden="false" customHeight="false" outlineLevel="0" collapsed="false">
      <c r="J504" s="40"/>
    </row>
    <row r="505" customFormat="false" ht="15" hidden="false" customHeight="false" outlineLevel="0" collapsed="false">
      <c r="J505" s="40"/>
    </row>
    <row r="506" customFormat="false" ht="15" hidden="false" customHeight="false" outlineLevel="0" collapsed="false">
      <c r="J506" s="40"/>
    </row>
    <row r="507" customFormat="false" ht="15" hidden="false" customHeight="false" outlineLevel="0" collapsed="false">
      <c r="J507" s="40"/>
    </row>
    <row r="508" customFormat="false" ht="15" hidden="false" customHeight="false" outlineLevel="0" collapsed="false">
      <c r="J508" s="40"/>
    </row>
    <row r="509" customFormat="false" ht="15" hidden="false" customHeight="false" outlineLevel="0" collapsed="false">
      <c r="J509" s="40"/>
    </row>
    <row r="510" customFormat="false" ht="15" hidden="false" customHeight="false" outlineLevel="0" collapsed="false">
      <c r="J510" s="40"/>
    </row>
    <row r="511" customFormat="false" ht="15" hidden="false" customHeight="false" outlineLevel="0" collapsed="false">
      <c r="J511" s="40"/>
    </row>
    <row r="512" customFormat="false" ht="15" hidden="false" customHeight="false" outlineLevel="0" collapsed="false">
      <c r="J512" s="40"/>
    </row>
    <row r="513" customFormat="false" ht="15" hidden="false" customHeight="false" outlineLevel="0" collapsed="false">
      <c r="J513" s="40"/>
    </row>
    <row r="514" customFormat="false" ht="15" hidden="false" customHeight="false" outlineLevel="0" collapsed="false">
      <c r="J514" s="40"/>
    </row>
    <row r="515" customFormat="false" ht="15" hidden="false" customHeight="false" outlineLevel="0" collapsed="false">
      <c r="J515" s="40"/>
    </row>
    <row r="516" customFormat="false" ht="15" hidden="false" customHeight="false" outlineLevel="0" collapsed="false">
      <c r="J516" s="40"/>
    </row>
    <row r="517" customFormat="false" ht="15" hidden="false" customHeight="false" outlineLevel="0" collapsed="false">
      <c r="J517" s="40"/>
    </row>
    <row r="518" customFormat="false" ht="15" hidden="false" customHeight="false" outlineLevel="0" collapsed="false">
      <c r="J518" s="40"/>
    </row>
    <row r="519" customFormat="false" ht="15" hidden="false" customHeight="false" outlineLevel="0" collapsed="false">
      <c r="J519" s="40"/>
    </row>
    <row r="520" customFormat="false" ht="15" hidden="false" customHeight="false" outlineLevel="0" collapsed="false">
      <c r="J520" s="40"/>
    </row>
    <row r="521" customFormat="false" ht="15" hidden="false" customHeight="false" outlineLevel="0" collapsed="false">
      <c r="J521" s="40"/>
    </row>
    <row r="522" customFormat="false" ht="15" hidden="false" customHeight="false" outlineLevel="0" collapsed="false">
      <c r="J522" s="40"/>
    </row>
    <row r="523" customFormat="false" ht="15" hidden="false" customHeight="false" outlineLevel="0" collapsed="false">
      <c r="J523" s="40"/>
    </row>
    <row r="524" customFormat="false" ht="15" hidden="false" customHeight="false" outlineLevel="0" collapsed="false">
      <c r="J524" s="40"/>
    </row>
    <row r="525" customFormat="false" ht="15" hidden="false" customHeight="false" outlineLevel="0" collapsed="false">
      <c r="J525" s="40"/>
    </row>
    <row r="526" customFormat="false" ht="15" hidden="false" customHeight="false" outlineLevel="0" collapsed="false">
      <c r="J526" s="40"/>
    </row>
    <row r="527" customFormat="false" ht="15" hidden="false" customHeight="false" outlineLevel="0" collapsed="false">
      <c r="J527" s="40"/>
    </row>
    <row r="528" customFormat="false" ht="15" hidden="false" customHeight="false" outlineLevel="0" collapsed="false">
      <c r="J528" s="40"/>
    </row>
    <row r="529" customFormat="false" ht="15" hidden="false" customHeight="false" outlineLevel="0" collapsed="false">
      <c r="J529" s="40"/>
    </row>
    <row r="530" customFormat="false" ht="15" hidden="false" customHeight="false" outlineLevel="0" collapsed="false">
      <c r="J530" s="40"/>
    </row>
    <row r="531" customFormat="false" ht="15" hidden="false" customHeight="false" outlineLevel="0" collapsed="false">
      <c r="J531" s="40"/>
    </row>
    <row r="532" customFormat="false" ht="15" hidden="false" customHeight="false" outlineLevel="0" collapsed="false">
      <c r="J532" s="40"/>
    </row>
    <row r="533" customFormat="false" ht="15" hidden="false" customHeight="false" outlineLevel="0" collapsed="false">
      <c r="J533" s="40"/>
    </row>
    <row r="534" customFormat="false" ht="15" hidden="false" customHeight="false" outlineLevel="0" collapsed="false">
      <c r="J534" s="40"/>
    </row>
    <row r="535" customFormat="false" ht="15" hidden="false" customHeight="false" outlineLevel="0" collapsed="false">
      <c r="J535" s="40"/>
    </row>
    <row r="536" customFormat="false" ht="15" hidden="false" customHeight="false" outlineLevel="0" collapsed="false">
      <c r="J536" s="40"/>
    </row>
    <row r="537" customFormat="false" ht="15" hidden="false" customHeight="false" outlineLevel="0" collapsed="false">
      <c r="J537" s="40"/>
    </row>
    <row r="538" customFormat="false" ht="15" hidden="false" customHeight="false" outlineLevel="0" collapsed="false">
      <c r="J538" s="40"/>
    </row>
    <row r="539" customFormat="false" ht="15" hidden="false" customHeight="false" outlineLevel="0" collapsed="false">
      <c r="J539" s="40"/>
    </row>
    <row r="540" customFormat="false" ht="15" hidden="false" customHeight="false" outlineLevel="0" collapsed="false">
      <c r="J540" s="40"/>
    </row>
    <row r="541" customFormat="false" ht="15" hidden="false" customHeight="false" outlineLevel="0" collapsed="false">
      <c r="J541" s="40"/>
    </row>
    <row r="542" customFormat="false" ht="15" hidden="false" customHeight="false" outlineLevel="0" collapsed="false">
      <c r="J542" s="40"/>
    </row>
    <row r="543" customFormat="false" ht="15" hidden="false" customHeight="false" outlineLevel="0" collapsed="false">
      <c r="J543" s="40"/>
    </row>
    <row r="544" customFormat="false" ht="15" hidden="false" customHeight="false" outlineLevel="0" collapsed="false">
      <c r="J544" s="40"/>
    </row>
    <row r="545" customFormat="false" ht="15" hidden="false" customHeight="false" outlineLevel="0" collapsed="false">
      <c r="J545" s="40"/>
    </row>
    <row r="546" customFormat="false" ht="15" hidden="false" customHeight="false" outlineLevel="0" collapsed="false">
      <c r="J546" s="40"/>
    </row>
    <row r="547" customFormat="false" ht="15" hidden="false" customHeight="false" outlineLevel="0" collapsed="false">
      <c r="J547" s="40"/>
    </row>
    <row r="548" customFormat="false" ht="15" hidden="false" customHeight="false" outlineLevel="0" collapsed="false">
      <c r="J548" s="40"/>
    </row>
    <row r="549" customFormat="false" ht="15" hidden="false" customHeight="false" outlineLevel="0" collapsed="false">
      <c r="J549" s="40"/>
    </row>
    <row r="550" customFormat="false" ht="15" hidden="false" customHeight="false" outlineLevel="0" collapsed="false">
      <c r="J550" s="40"/>
    </row>
    <row r="551" customFormat="false" ht="15" hidden="false" customHeight="false" outlineLevel="0" collapsed="false">
      <c r="J551" s="40"/>
    </row>
    <row r="552" customFormat="false" ht="15" hidden="false" customHeight="false" outlineLevel="0" collapsed="false">
      <c r="J552" s="40"/>
    </row>
    <row r="553" customFormat="false" ht="15" hidden="false" customHeight="false" outlineLevel="0" collapsed="false">
      <c r="J553" s="40"/>
    </row>
    <row r="554" customFormat="false" ht="15" hidden="false" customHeight="false" outlineLevel="0" collapsed="false">
      <c r="J554" s="40"/>
    </row>
    <row r="555" customFormat="false" ht="15" hidden="false" customHeight="false" outlineLevel="0" collapsed="false">
      <c r="J555" s="40"/>
    </row>
    <row r="556" customFormat="false" ht="15" hidden="false" customHeight="false" outlineLevel="0" collapsed="false">
      <c r="J556" s="40"/>
    </row>
    <row r="557" customFormat="false" ht="15" hidden="false" customHeight="false" outlineLevel="0" collapsed="false">
      <c r="J557" s="40"/>
    </row>
    <row r="558" customFormat="false" ht="15" hidden="false" customHeight="false" outlineLevel="0" collapsed="false">
      <c r="J558" s="40"/>
    </row>
    <row r="559" customFormat="false" ht="15" hidden="false" customHeight="false" outlineLevel="0" collapsed="false">
      <c r="J559" s="40"/>
    </row>
    <row r="560" customFormat="false" ht="15" hidden="false" customHeight="false" outlineLevel="0" collapsed="false">
      <c r="J560" s="40"/>
    </row>
    <row r="561" customFormat="false" ht="15" hidden="false" customHeight="false" outlineLevel="0" collapsed="false">
      <c r="J561" s="40"/>
    </row>
    <row r="562" customFormat="false" ht="15" hidden="false" customHeight="false" outlineLevel="0" collapsed="false">
      <c r="J562" s="40"/>
    </row>
    <row r="563" customFormat="false" ht="15" hidden="false" customHeight="false" outlineLevel="0" collapsed="false">
      <c r="J563" s="40"/>
    </row>
    <row r="564" customFormat="false" ht="15" hidden="false" customHeight="false" outlineLevel="0" collapsed="false">
      <c r="J564" s="40"/>
    </row>
    <row r="565" customFormat="false" ht="15" hidden="false" customHeight="false" outlineLevel="0" collapsed="false">
      <c r="J565" s="40"/>
    </row>
    <row r="566" customFormat="false" ht="15" hidden="false" customHeight="false" outlineLevel="0" collapsed="false">
      <c r="J566" s="40"/>
    </row>
    <row r="567" customFormat="false" ht="15" hidden="false" customHeight="false" outlineLevel="0" collapsed="false">
      <c r="J567" s="40"/>
    </row>
    <row r="568" customFormat="false" ht="15" hidden="false" customHeight="false" outlineLevel="0" collapsed="false">
      <c r="J568" s="40"/>
    </row>
    <row r="569" customFormat="false" ht="15" hidden="false" customHeight="false" outlineLevel="0" collapsed="false">
      <c r="J569" s="40"/>
    </row>
    <row r="570" customFormat="false" ht="15" hidden="false" customHeight="false" outlineLevel="0" collapsed="false">
      <c r="J570" s="40"/>
    </row>
    <row r="571" customFormat="false" ht="15" hidden="false" customHeight="false" outlineLevel="0" collapsed="false">
      <c r="J571" s="40"/>
    </row>
    <row r="572" customFormat="false" ht="15" hidden="false" customHeight="false" outlineLevel="0" collapsed="false">
      <c r="J572" s="40"/>
    </row>
    <row r="573" customFormat="false" ht="15" hidden="false" customHeight="false" outlineLevel="0" collapsed="false">
      <c r="J573" s="40"/>
    </row>
    <row r="574" customFormat="false" ht="15" hidden="false" customHeight="false" outlineLevel="0" collapsed="false">
      <c r="J574" s="40"/>
    </row>
    <row r="575" customFormat="false" ht="15" hidden="false" customHeight="false" outlineLevel="0" collapsed="false">
      <c r="J575" s="40"/>
    </row>
    <row r="576" customFormat="false" ht="15" hidden="false" customHeight="false" outlineLevel="0" collapsed="false">
      <c r="J576" s="40"/>
    </row>
    <row r="577" customFormat="false" ht="15" hidden="false" customHeight="false" outlineLevel="0" collapsed="false">
      <c r="J577" s="40"/>
    </row>
    <row r="578" customFormat="false" ht="15" hidden="false" customHeight="false" outlineLevel="0" collapsed="false">
      <c r="J578" s="40"/>
    </row>
    <row r="579" customFormat="false" ht="15" hidden="false" customHeight="false" outlineLevel="0" collapsed="false">
      <c r="J579" s="40"/>
    </row>
    <row r="580" customFormat="false" ht="15" hidden="false" customHeight="false" outlineLevel="0" collapsed="false">
      <c r="J580" s="40"/>
    </row>
    <row r="581" customFormat="false" ht="15" hidden="false" customHeight="false" outlineLevel="0" collapsed="false">
      <c r="J581" s="40"/>
    </row>
    <row r="582" customFormat="false" ht="15" hidden="false" customHeight="false" outlineLevel="0" collapsed="false">
      <c r="J582" s="40"/>
    </row>
    <row r="583" customFormat="false" ht="15" hidden="false" customHeight="false" outlineLevel="0" collapsed="false">
      <c r="J583" s="40"/>
    </row>
    <row r="584" customFormat="false" ht="15" hidden="false" customHeight="false" outlineLevel="0" collapsed="false">
      <c r="J584" s="40"/>
    </row>
    <row r="585" customFormat="false" ht="15" hidden="false" customHeight="false" outlineLevel="0" collapsed="false">
      <c r="J585" s="40"/>
    </row>
    <row r="586" customFormat="false" ht="15" hidden="false" customHeight="false" outlineLevel="0" collapsed="false">
      <c r="J586" s="40"/>
    </row>
    <row r="587" customFormat="false" ht="15" hidden="false" customHeight="false" outlineLevel="0" collapsed="false">
      <c r="J587" s="40"/>
    </row>
    <row r="588" customFormat="false" ht="15" hidden="false" customHeight="false" outlineLevel="0" collapsed="false">
      <c r="J588" s="40"/>
    </row>
    <row r="589" customFormat="false" ht="15" hidden="false" customHeight="false" outlineLevel="0" collapsed="false">
      <c r="J589" s="40"/>
    </row>
    <row r="590" customFormat="false" ht="15" hidden="false" customHeight="false" outlineLevel="0" collapsed="false">
      <c r="J590" s="40"/>
    </row>
    <row r="591" customFormat="false" ht="15" hidden="false" customHeight="false" outlineLevel="0" collapsed="false">
      <c r="J591" s="40"/>
    </row>
    <row r="592" customFormat="false" ht="15" hidden="false" customHeight="false" outlineLevel="0" collapsed="false">
      <c r="J592" s="40"/>
    </row>
    <row r="593" customFormat="false" ht="15" hidden="false" customHeight="false" outlineLevel="0" collapsed="false">
      <c r="J593" s="40"/>
    </row>
    <row r="594" customFormat="false" ht="15" hidden="false" customHeight="false" outlineLevel="0" collapsed="false">
      <c r="J594" s="40"/>
    </row>
    <row r="595" customFormat="false" ht="15" hidden="false" customHeight="false" outlineLevel="0" collapsed="false">
      <c r="J595" s="40"/>
    </row>
    <row r="596" customFormat="false" ht="15" hidden="false" customHeight="false" outlineLevel="0" collapsed="false">
      <c r="J596" s="40"/>
    </row>
    <row r="597" customFormat="false" ht="15" hidden="false" customHeight="false" outlineLevel="0" collapsed="false">
      <c r="J597" s="40"/>
    </row>
    <row r="598" customFormat="false" ht="15" hidden="false" customHeight="false" outlineLevel="0" collapsed="false">
      <c r="J598" s="40"/>
    </row>
    <row r="599" customFormat="false" ht="15" hidden="false" customHeight="false" outlineLevel="0" collapsed="false">
      <c r="J599" s="40"/>
    </row>
    <row r="600" customFormat="false" ht="15" hidden="false" customHeight="false" outlineLevel="0" collapsed="false">
      <c r="J600" s="40"/>
    </row>
    <row r="601" customFormat="false" ht="15" hidden="false" customHeight="false" outlineLevel="0" collapsed="false">
      <c r="J601" s="40"/>
    </row>
    <row r="602" customFormat="false" ht="15" hidden="false" customHeight="false" outlineLevel="0" collapsed="false">
      <c r="J602" s="40"/>
    </row>
    <row r="603" customFormat="false" ht="15" hidden="false" customHeight="false" outlineLevel="0" collapsed="false">
      <c r="J603" s="40"/>
    </row>
    <row r="604" customFormat="false" ht="15" hidden="false" customHeight="false" outlineLevel="0" collapsed="false">
      <c r="J604" s="40"/>
    </row>
    <row r="605" customFormat="false" ht="15" hidden="false" customHeight="false" outlineLevel="0" collapsed="false">
      <c r="J605" s="40"/>
    </row>
    <row r="606" customFormat="false" ht="15" hidden="false" customHeight="false" outlineLevel="0" collapsed="false">
      <c r="J606" s="40"/>
    </row>
    <row r="607" customFormat="false" ht="15" hidden="false" customHeight="false" outlineLevel="0" collapsed="false">
      <c r="J607" s="40"/>
    </row>
    <row r="608" customFormat="false" ht="15" hidden="false" customHeight="false" outlineLevel="0" collapsed="false">
      <c r="J608" s="40"/>
    </row>
    <row r="609" customFormat="false" ht="15" hidden="false" customHeight="false" outlineLevel="0" collapsed="false">
      <c r="J609" s="40"/>
    </row>
    <row r="610" customFormat="false" ht="15" hidden="false" customHeight="false" outlineLevel="0" collapsed="false">
      <c r="J610" s="40"/>
    </row>
    <row r="611" customFormat="false" ht="15" hidden="false" customHeight="false" outlineLevel="0" collapsed="false">
      <c r="J611" s="40"/>
    </row>
    <row r="612" customFormat="false" ht="15" hidden="false" customHeight="false" outlineLevel="0" collapsed="false">
      <c r="J612" s="40"/>
    </row>
    <row r="613" customFormat="false" ht="15" hidden="false" customHeight="false" outlineLevel="0" collapsed="false">
      <c r="J613" s="40"/>
    </row>
    <row r="614" customFormat="false" ht="15" hidden="false" customHeight="false" outlineLevel="0" collapsed="false">
      <c r="J614" s="40"/>
    </row>
    <row r="615" customFormat="false" ht="15" hidden="false" customHeight="false" outlineLevel="0" collapsed="false">
      <c r="J615" s="40"/>
    </row>
    <row r="616" customFormat="false" ht="15" hidden="false" customHeight="false" outlineLevel="0" collapsed="false">
      <c r="J616" s="40"/>
    </row>
    <row r="617" customFormat="false" ht="15" hidden="false" customHeight="false" outlineLevel="0" collapsed="false">
      <c r="J617" s="40"/>
    </row>
    <row r="618" customFormat="false" ht="15" hidden="false" customHeight="false" outlineLevel="0" collapsed="false">
      <c r="J618" s="40"/>
    </row>
    <row r="619" customFormat="false" ht="15" hidden="false" customHeight="false" outlineLevel="0" collapsed="false">
      <c r="J619" s="40"/>
    </row>
    <row r="620" customFormat="false" ht="15" hidden="false" customHeight="false" outlineLevel="0" collapsed="false">
      <c r="J620" s="40"/>
    </row>
    <row r="621" customFormat="false" ht="15" hidden="false" customHeight="false" outlineLevel="0" collapsed="false">
      <c r="J621" s="40"/>
    </row>
    <row r="622" customFormat="false" ht="15" hidden="false" customHeight="false" outlineLevel="0" collapsed="false">
      <c r="J622" s="40"/>
    </row>
    <row r="623" customFormat="false" ht="15" hidden="false" customHeight="false" outlineLevel="0" collapsed="false">
      <c r="J623" s="40"/>
    </row>
    <row r="624" customFormat="false" ht="15" hidden="false" customHeight="false" outlineLevel="0" collapsed="false">
      <c r="J624" s="40"/>
    </row>
    <row r="625" customFormat="false" ht="15" hidden="false" customHeight="false" outlineLevel="0" collapsed="false">
      <c r="J625" s="40"/>
    </row>
    <row r="626" customFormat="false" ht="15" hidden="false" customHeight="false" outlineLevel="0" collapsed="false">
      <c r="J626" s="40"/>
    </row>
    <row r="627" customFormat="false" ht="15" hidden="false" customHeight="false" outlineLevel="0" collapsed="false">
      <c r="J627" s="40"/>
    </row>
    <row r="628" customFormat="false" ht="15" hidden="false" customHeight="false" outlineLevel="0" collapsed="false">
      <c r="J628" s="40"/>
    </row>
    <row r="629" customFormat="false" ht="15" hidden="false" customHeight="false" outlineLevel="0" collapsed="false">
      <c r="J629" s="40"/>
    </row>
    <row r="630" customFormat="false" ht="15" hidden="false" customHeight="false" outlineLevel="0" collapsed="false">
      <c r="J630" s="40"/>
    </row>
    <row r="631" customFormat="false" ht="15" hidden="false" customHeight="false" outlineLevel="0" collapsed="false">
      <c r="J631" s="40"/>
    </row>
    <row r="632" customFormat="false" ht="15" hidden="false" customHeight="false" outlineLevel="0" collapsed="false">
      <c r="J632" s="40"/>
    </row>
    <row r="633" customFormat="false" ht="15" hidden="false" customHeight="false" outlineLevel="0" collapsed="false">
      <c r="J633" s="40"/>
    </row>
    <row r="634" customFormat="false" ht="15" hidden="false" customHeight="false" outlineLevel="0" collapsed="false">
      <c r="J634" s="40"/>
    </row>
    <row r="635" customFormat="false" ht="15" hidden="false" customHeight="false" outlineLevel="0" collapsed="false">
      <c r="J635" s="40"/>
    </row>
    <row r="636" customFormat="false" ht="15" hidden="false" customHeight="false" outlineLevel="0" collapsed="false">
      <c r="J636" s="40"/>
    </row>
    <row r="637" customFormat="false" ht="15" hidden="false" customHeight="false" outlineLevel="0" collapsed="false">
      <c r="J637" s="40"/>
    </row>
    <row r="638" customFormat="false" ht="15" hidden="false" customHeight="false" outlineLevel="0" collapsed="false">
      <c r="J638" s="40"/>
    </row>
    <row r="639" customFormat="false" ht="15" hidden="false" customHeight="false" outlineLevel="0" collapsed="false">
      <c r="J639" s="40"/>
    </row>
    <row r="640" customFormat="false" ht="15" hidden="false" customHeight="false" outlineLevel="0" collapsed="false">
      <c r="J640" s="40"/>
    </row>
    <row r="641" customFormat="false" ht="15" hidden="false" customHeight="false" outlineLevel="0" collapsed="false">
      <c r="J641" s="40"/>
    </row>
    <row r="642" customFormat="false" ht="15" hidden="false" customHeight="false" outlineLevel="0" collapsed="false">
      <c r="J642" s="40"/>
    </row>
    <row r="643" customFormat="false" ht="15" hidden="false" customHeight="false" outlineLevel="0" collapsed="false">
      <c r="J643" s="40"/>
    </row>
    <row r="644" customFormat="false" ht="15" hidden="false" customHeight="false" outlineLevel="0" collapsed="false">
      <c r="J644" s="40"/>
    </row>
    <row r="645" customFormat="false" ht="15" hidden="false" customHeight="false" outlineLevel="0" collapsed="false">
      <c r="J645" s="40"/>
    </row>
    <row r="646" customFormat="false" ht="15" hidden="false" customHeight="false" outlineLevel="0" collapsed="false">
      <c r="J646" s="40"/>
    </row>
    <row r="647" customFormat="false" ht="15" hidden="false" customHeight="false" outlineLevel="0" collapsed="false">
      <c r="J647" s="40"/>
    </row>
    <row r="648" customFormat="false" ht="15" hidden="false" customHeight="false" outlineLevel="0" collapsed="false">
      <c r="J648" s="40"/>
    </row>
    <row r="649" customFormat="false" ht="15" hidden="false" customHeight="false" outlineLevel="0" collapsed="false">
      <c r="J649" s="40"/>
    </row>
    <row r="650" customFormat="false" ht="15" hidden="false" customHeight="false" outlineLevel="0" collapsed="false">
      <c r="J650" s="40"/>
    </row>
    <row r="651" customFormat="false" ht="15" hidden="false" customHeight="false" outlineLevel="0" collapsed="false">
      <c r="J651" s="40"/>
    </row>
    <row r="652" customFormat="false" ht="15" hidden="false" customHeight="false" outlineLevel="0" collapsed="false">
      <c r="J652" s="40"/>
    </row>
    <row r="653" customFormat="false" ht="15" hidden="false" customHeight="false" outlineLevel="0" collapsed="false">
      <c r="J653" s="40"/>
    </row>
    <row r="654" customFormat="false" ht="15" hidden="false" customHeight="false" outlineLevel="0" collapsed="false">
      <c r="J654" s="40"/>
    </row>
    <row r="655" customFormat="false" ht="15" hidden="false" customHeight="false" outlineLevel="0" collapsed="false">
      <c r="J655" s="40"/>
    </row>
    <row r="656" customFormat="false" ht="15" hidden="false" customHeight="false" outlineLevel="0" collapsed="false">
      <c r="J656" s="40"/>
    </row>
    <row r="657" customFormat="false" ht="15" hidden="false" customHeight="false" outlineLevel="0" collapsed="false">
      <c r="J657" s="40"/>
    </row>
    <row r="658" customFormat="false" ht="15" hidden="false" customHeight="false" outlineLevel="0" collapsed="false">
      <c r="J658" s="40"/>
    </row>
    <row r="659" customFormat="false" ht="15" hidden="false" customHeight="false" outlineLevel="0" collapsed="false">
      <c r="J659" s="40"/>
    </row>
    <row r="660" customFormat="false" ht="15" hidden="false" customHeight="false" outlineLevel="0" collapsed="false">
      <c r="J660" s="40"/>
    </row>
    <row r="661" customFormat="false" ht="15" hidden="false" customHeight="false" outlineLevel="0" collapsed="false">
      <c r="J661" s="40"/>
    </row>
    <row r="662" customFormat="false" ht="15" hidden="false" customHeight="false" outlineLevel="0" collapsed="false">
      <c r="J662" s="40"/>
    </row>
    <row r="663" customFormat="false" ht="15" hidden="false" customHeight="false" outlineLevel="0" collapsed="false">
      <c r="J663" s="40"/>
    </row>
    <row r="664" customFormat="false" ht="15" hidden="false" customHeight="false" outlineLevel="0" collapsed="false">
      <c r="J664" s="40"/>
    </row>
    <row r="665" customFormat="false" ht="15" hidden="false" customHeight="false" outlineLevel="0" collapsed="false">
      <c r="J665" s="40"/>
    </row>
    <row r="666" customFormat="false" ht="15" hidden="false" customHeight="false" outlineLevel="0" collapsed="false">
      <c r="J666" s="40"/>
    </row>
    <row r="667" customFormat="false" ht="15" hidden="false" customHeight="false" outlineLevel="0" collapsed="false">
      <c r="J667" s="40"/>
    </row>
    <row r="668" customFormat="false" ht="15" hidden="false" customHeight="false" outlineLevel="0" collapsed="false">
      <c r="J668" s="40"/>
    </row>
    <row r="669" customFormat="false" ht="15" hidden="false" customHeight="false" outlineLevel="0" collapsed="false">
      <c r="J669" s="40"/>
    </row>
    <row r="670" customFormat="false" ht="15" hidden="false" customHeight="false" outlineLevel="0" collapsed="false">
      <c r="J670" s="40"/>
    </row>
    <row r="671" customFormat="false" ht="15" hidden="false" customHeight="false" outlineLevel="0" collapsed="false">
      <c r="J671" s="40"/>
    </row>
    <row r="672" customFormat="false" ht="15" hidden="false" customHeight="false" outlineLevel="0" collapsed="false">
      <c r="J672" s="40"/>
    </row>
    <row r="673" customFormat="false" ht="15" hidden="false" customHeight="false" outlineLevel="0" collapsed="false">
      <c r="J673" s="40"/>
    </row>
    <row r="674" customFormat="false" ht="15" hidden="false" customHeight="false" outlineLevel="0" collapsed="false">
      <c r="J674" s="40"/>
    </row>
    <row r="675" customFormat="false" ht="15" hidden="false" customHeight="false" outlineLevel="0" collapsed="false">
      <c r="J675" s="40"/>
    </row>
    <row r="676" customFormat="false" ht="15" hidden="false" customHeight="false" outlineLevel="0" collapsed="false">
      <c r="J676" s="40"/>
    </row>
    <row r="677" customFormat="false" ht="15" hidden="false" customHeight="false" outlineLevel="0" collapsed="false">
      <c r="J677" s="40"/>
    </row>
    <row r="678" customFormat="false" ht="15" hidden="false" customHeight="false" outlineLevel="0" collapsed="false">
      <c r="J678" s="40"/>
    </row>
    <row r="679" customFormat="false" ht="15" hidden="false" customHeight="false" outlineLevel="0" collapsed="false">
      <c r="J679" s="40"/>
    </row>
    <row r="680" customFormat="false" ht="15" hidden="false" customHeight="false" outlineLevel="0" collapsed="false">
      <c r="J680" s="40"/>
    </row>
    <row r="681" customFormat="false" ht="15" hidden="false" customHeight="false" outlineLevel="0" collapsed="false">
      <c r="J681" s="40"/>
    </row>
    <row r="682" customFormat="false" ht="15" hidden="false" customHeight="false" outlineLevel="0" collapsed="false">
      <c r="J682" s="40"/>
    </row>
    <row r="683" customFormat="false" ht="15" hidden="false" customHeight="false" outlineLevel="0" collapsed="false">
      <c r="J683" s="40"/>
    </row>
    <row r="684" customFormat="false" ht="15" hidden="false" customHeight="false" outlineLevel="0" collapsed="false">
      <c r="J684" s="40"/>
    </row>
    <row r="685" customFormat="false" ht="15" hidden="false" customHeight="false" outlineLevel="0" collapsed="false">
      <c r="J685" s="40"/>
    </row>
    <row r="686" customFormat="false" ht="15" hidden="false" customHeight="false" outlineLevel="0" collapsed="false">
      <c r="J686" s="40"/>
    </row>
    <row r="687" customFormat="false" ht="15" hidden="false" customHeight="false" outlineLevel="0" collapsed="false">
      <c r="J687" s="40"/>
    </row>
    <row r="688" customFormat="false" ht="15" hidden="false" customHeight="false" outlineLevel="0" collapsed="false">
      <c r="J688" s="40"/>
    </row>
    <row r="689" customFormat="false" ht="15" hidden="false" customHeight="false" outlineLevel="0" collapsed="false">
      <c r="J689" s="40"/>
    </row>
    <row r="690" customFormat="false" ht="15" hidden="false" customHeight="false" outlineLevel="0" collapsed="false">
      <c r="J690" s="40"/>
    </row>
    <row r="691" customFormat="false" ht="15" hidden="false" customHeight="false" outlineLevel="0" collapsed="false">
      <c r="J691" s="40"/>
    </row>
    <row r="692" customFormat="false" ht="15" hidden="false" customHeight="false" outlineLevel="0" collapsed="false">
      <c r="J692" s="40"/>
    </row>
    <row r="693" customFormat="false" ht="15" hidden="false" customHeight="false" outlineLevel="0" collapsed="false">
      <c r="J693" s="40"/>
    </row>
    <row r="694" customFormat="false" ht="15" hidden="false" customHeight="false" outlineLevel="0" collapsed="false">
      <c r="J694" s="40"/>
    </row>
    <row r="695" customFormat="false" ht="15" hidden="false" customHeight="false" outlineLevel="0" collapsed="false">
      <c r="J695" s="40"/>
    </row>
    <row r="696" customFormat="false" ht="15" hidden="false" customHeight="false" outlineLevel="0" collapsed="false">
      <c r="J696" s="40"/>
    </row>
    <row r="697" customFormat="false" ht="15" hidden="false" customHeight="false" outlineLevel="0" collapsed="false">
      <c r="J697" s="40"/>
    </row>
    <row r="698" customFormat="false" ht="15" hidden="false" customHeight="false" outlineLevel="0" collapsed="false">
      <c r="J698" s="40"/>
    </row>
    <row r="699" customFormat="false" ht="15" hidden="false" customHeight="false" outlineLevel="0" collapsed="false">
      <c r="J699" s="40"/>
    </row>
    <row r="700" customFormat="false" ht="15" hidden="false" customHeight="false" outlineLevel="0" collapsed="false">
      <c r="J700" s="40"/>
    </row>
    <row r="701" customFormat="false" ht="15" hidden="false" customHeight="false" outlineLevel="0" collapsed="false">
      <c r="J701" s="40"/>
    </row>
    <row r="702" customFormat="false" ht="15" hidden="false" customHeight="false" outlineLevel="0" collapsed="false">
      <c r="J702" s="40"/>
    </row>
    <row r="703" customFormat="false" ht="15" hidden="false" customHeight="false" outlineLevel="0" collapsed="false">
      <c r="J703" s="40"/>
    </row>
    <row r="704" customFormat="false" ht="15" hidden="false" customHeight="false" outlineLevel="0" collapsed="false">
      <c r="J704" s="40"/>
    </row>
    <row r="705" customFormat="false" ht="15" hidden="false" customHeight="false" outlineLevel="0" collapsed="false">
      <c r="J705" s="40"/>
    </row>
    <row r="706" customFormat="false" ht="15" hidden="false" customHeight="false" outlineLevel="0" collapsed="false">
      <c r="J706" s="40"/>
    </row>
    <row r="707" customFormat="false" ht="15" hidden="false" customHeight="false" outlineLevel="0" collapsed="false">
      <c r="J707" s="40"/>
    </row>
    <row r="708" customFormat="false" ht="15" hidden="false" customHeight="false" outlineLevel="0" collapsed="false">
      <c r="J708" s="40"/>
    </row>
    <row r="709" customFormat="false" ht="15" hidden="false" customHeight="false" outlineLevel="0" collapsed="false">
      <c r="J709" s="40"/>
    </row>
    <row r="710" customFormat="false" ht="15" hidden="false" customHeight="false" outlineLevel="0" collapsed="false">
      <c r="J710" s="40"/>
    </row>
    <row r="711" customFormat="false" ht="15" hidden="false" customHeight="false" outlineLevel="0" collapsed="false">
      <c r="J711" s="40"/>
    </row>
    <row r="712" customFormat="false" ht="15" hidden="false" customHeight="false" outlineLevel="0" collapsed="false">
      <c r="J712" s="40"/>
    </row>
    <row r="713" customFormat="false" ht="15" hidden="false" customHeight="false" outlineLevel="0" collapsed="false">
      <c r="J713" s="40"/>
    </row>
    <row r="714" customFormat="false" ht="15" hidden="false" customHeight="false" outlineLevel="0" collapsed="false">
      <c r="J714" s="40"/>
    </row>
    <row r="715" customFormat="false" ht="15" hidden="false" customHeight="false" outlineLevel="0" collapsed="false">
      <c r="J715" s="40"/>
    </row>
    <row r="716" customFormat="false" ht="15" hidden="false" customHeight="false" outlineLevel="0" collapsed="false">
      <c r="J716" s="40"/>
    </row>
    <row r="717" customFormat="false" ht="15" hidden="false" customHeight="false" outlineLevel="0" collapsed="false">
      <c r="J717" s="40"/>
    </row>
    <row r="718" customFormat="false" ht="15" hidden="false" customHeight="false" outlineLevel="0" collapsed="false">
      <c r="J718" s="40"/>
    </row>
    <row r="719" customFormat="false" ht="15" hidden="false" customHeight="false" outlineLevel="0" collapsed="false">
      <c r="J719" s="40"/>
    </row>
    <row r="720" customFormat="false" ht="15" hidden="false" customHeight="false" outlineLevel="0" collapsed="false">
      <c r="J720" s="40"/>
    </row>
    <row r="721" customFormat="false" ht="15" hidden="false" customHeight="false" outlineLevel="0" collapsed="false">
      <c r="J721" s="40"/>
    </row>
    <row r="722" customFormat="false" ht="15" hidden="false" customHeight="false" outlineLevel="0" collapsed="false">
      <c r="J722" s="40"/>
    </row>
    <row r="723" customFormat="false" ht="15" hidden="false" customHeight="false" outlineLevel="0" collapsed="false">
      <c r="J723" s="40"/>
    </row>
    <row r="724" customFormat="false" ht="15" hidden="false" customHeight="false" outlineLevel="0" collapsed="false">
      <c r="J724" s="40"/>
    </row>
    <row r="725" customFormat="false" ht="15" hidden="false" customHeight="false" outlineLevel="0" collapsed="false">
      <c r="J725" s="40"/>
    </row>
    <row r="726" customFormat="false" ht="15" hidden="false" customHeight="false" outlineLevel="0" collapsed="false">
      <c r="J726" s="40"/>
    </row>
    <row r="727" customFormat="false" ht="15" hidden="false" customHeight="false" outlineLevel="0" collapsed="false">
      <c r="J727" s="40"/>
    </row>
    <row r="728" customFormat="false" ht="15" hidden="false" customHeight="false" outlineLevel="0" collapsed="false">
      <c r="J728" s="40"/>
    </row>
    <row r="729" customFormat="false" ht="15" hidden="false" customHeight="false" outlineLevel="0" collapsed="false">
      <c r="J729" s="40"/>
    </row>
    <row r="730" customFormat="false" ht="15" hidden="false" customHeight="false" outlineLevel="0" collapsed="false">
      <c r="J730" s="40"/>
    </row>
    <row r="731" customFormat="false" ht="15" hidden="false" customHeight="false" outlineLevel="0" collapsed="false">
      <c r="J731" s="40"/>
    </row>
    <row r="732" customFormat="false" ht="15" hidden="false" customHeight="false" outlineLevel="0" collapsed="false">
      <c r="J732" s="40"/>
    </row>
    <row r="733" customFormat="false" ht="15" hidden="false" customHeight="false" outlineLevel="0" collapsed="false">
      <c r="J733" s="40"/>
    </row>
    <row r="734" customFormat="false" ht="15" hidden="false" customHeight="false" outlineLevel="0" collapsed="false">
      <c r="J734" s="40"/>
    </row>
    <row r="735" customFormat="false" ht="15" hidden="false" customHeight="false" outlineLevel="0" collapsed="false">
      <c r="J735" s="40"/>
    </row>
    <row r="736" customFormat="false" ht="15" hidden="false" customHeight="false" outlineLevel="0" collapsed="false">
      <c r="J736" s="40"/>
    </row>
    <row r="737" customFormat="false" ht="15" hidden="false" customHeight="false" outlineLevel="0" collapsed="false">
      <c r="J737" s="40"/>
    </row>
    <row r="738" customFormat="false" ht="15" hidden="false" customHeight="false" outlineLevel="0" collapsed="false">
      <c r="J738" s="40"/>
    </row>
    <row r="739" customFormat="false" ht="15" hidden="false" customHeight="false" outlineLevel="0" collapsed="false">
      <c r="J739" s="40"/>
    </row>
    <row r="740" customFormat="false" ht="15" hidden="false" customHeight="false" outlineLevel="0" collapsed="false">
      <c r="J740" s="40"/>
    </row>
    <row r="741" customFormat="false" ht="15" hidden="false" customHeight="false" outlineLevel="0" collapsed="false">
      <c r="J741" s="40"/>
    </row>
    <row r="742" customFormat="false" ht="15" hidden="false" customHeight="false" outlineLevel="0" collapsed="false">
      <c r="J742" s="40"/>
    </row>
    <row r="743" customFormat="false" ht="15" hidden="false" customHeight="false" outlineLevel="0" collapsed="false">
      <c r="J743" s="40"/>
    </row>
    <row r="744" customFormat="false" ht="15" hidden="false" customHeight="false" outlineLevel="0" collapsed="false">
      <c r="J744" s="40"/>
    </row>
    <row r="745" customFormat="false" ht="15" hidden="false" customHeight="false" outlineLevel="0" collapsed="false">
      <c r="J745" s="40"/>
    </row>
    <row r="746" customFormat="false" ht="15" hidden="false" customHeight="false" outlineLevel="0" collapsed="false">
      <c r="J746" s="40"/>
    </row>
    <row r="747" customFormat="false" ht="15" hidden="false" customHeight="false" outlineLevel="0" collapsed="false">
      <c r="J747" s="40"/>
    </row>
    <row r="748" customFormat="false" ht="15" hidden="false" customHeight="false" outlineLevel="0" collapsed="false">
      <c r="J748" s="40"/>
    </row>
    <row r="749" customFormat="false" ht="15" hidden="false" customHeight="false" outlineLevel="0" collapsed="false">
      <c r="J749" s="40"/>
    </row>
    <row r="750" customFormat="false" ht="15" hidden="false" customHeight="false" outlineLevel="0" collapsed="false">
      <c r="J750" s="40"/>
    </row>
    <row r="751" customFormat="false" ht="15" hidden="false" customHeight="false" outlineLevel="0" collapsed="false">
      <c r="J751" s="40"/>
    </row>
    <row r="752" customFormat="false" ht="15" hidden="false" customHeight="false" outlineLevel="0" collapsed="false">
      <c r="J752" s="40"/>
    </row>
    <row r="753" customFormat="false" ht="15" hidden="false" customHeight="false" outlineLevel="0" collapsed="false">
      <c r="J753" s="40"/>
    </row>
    <row r="754" customFormat="false" ht="15" hidden="false" customHeight="false" outlineLevel="0" collapsed="false">
      <c r="J754" s="40"/>
    </row>
    <row r="755" customFormat="false" ht="15" hidden="false" customHeight="false" outlineLevel="0" collapsed="false">
      <c r="J755" s="40"/>
    </row>
    <row r="756" customFormat="false" ht="15" hidden="false" customHeight="false" outlineLevel="0" collapsed="false">
      <c r="J756" s="40"/>
    </row>
    <row r="757" customFormat="false" ht="15" hidden="false" customHeight="false" outlineLevel="0" collapsed="false">
      <c r="J757" s="40"/>
    </row>
    <row r="758" customFormat="false" ht="15" hidden="false" customHeight="false" outlineLevel="0" collapsed="false">
      <c r="J758" s="40"/>
    </row>
    <row r="759" customFormat="false" ht="15" hidden="false" customHeight="false" outlineLevel="0" collapsed="false">
      <c r="J759" s="40"/>
    </row>
    <row r="760" customFormat="false" ht="15" hidden="false" customHeight="false" outlineLevel="0" collapsed="false">
      <c r="J760" s="40"/>
    </row>
    <row r="761" customFormat="false" ht="15" hidden="false" customHeight="false" outlineLevel="0" collapsed="false">
      <c r="J761" s="40"/>
    </row>
    <row r="762" customFormat="false" ht="15" hidden="false" customHeight="false" outlineLevel="0" collapsed="false">
      <c r="J762" s="40"/>
    </row>
    <row r="763" customFormat="false" ht="15" hidden="false" customHeight="false" outlineLevel="0" collapsed="false">
      <c r="J763" s="40"/>
    </row>
    <row r="764" customFormat="false" ht="15" hidden="false" customHeight="false" outlineLevel="0" collapsed="false">
      <c r="J764" s="40"/>
    </row>
    <row r="765" customFormat="false" ht="15" hidden="false" customHeight="false" outlineLevel="0" collapsed="false">
      <c r="J765" s="40"/>
    </row>
    <row r="766" customFormat="false" ht="15" hidden="false" customHeight="false" outlineLevel="0" collapsed="false">
      <c r="J766" s="40"/>
    </row>
    <row r="767" customFormat="false" ht="15" hidden="false" customHeight="false" outlineLevel="0" collapsed="false">
      <c r="J767" s="40"/>
    </row>
    <row r="768" customFormat="false" ht="15" hidden="false" customHeight="false" outlineLevel="0" collapsed="false">
      <c r="J768" s="40"/>
    </row>
    <row r="769" customFormat="false" ht="15" hidden="false" customHeight="false" outlineLevel="0" collapsed="false">
      <c r="J769" s="40"/>
    </row>
    <row r="770" customFormat="false" ht="15" hidden="false" customHeight="false" outlineLevel="0" collapsed="false">
      <c r="J770" s="40"/>
    </row>
    <row r="771" customFormat="false" ht="15" hidden="false" customHeight="false" outlineLevel="0" collapsed="false">
      <c r="J771" s="40"/>
    </row>
    <row r="772" customFormat="false" ht="15" hidden="false" customHeight="false" outlineLevel="0" collapsed="false">
      <c r="J772" s="40"/>
    </row>
    <row r="773" customFormat="false" ht="15" hidden="false" customHeight="false" outlineLevel="0" collapsed="false">
      <c r="J773" s="40"/>
    </row>
    <row r="774" customFormat="false" ht="15" hidden="false" customHeight="false" outlineLevel="0" collapsed="false">
      <c r="J774" s="40"/>
    </row>
    <row r="775" customFormat="false" ht="15" hidden="false" customHeight="false" outlineLevel="0" collapsed="false">
      <c r="J775" s="40"/>
    </row>
    <row r="776" customFormat="false" ht="15" hidden="false" customHeight="false" outlineLevel="0" collapsed="false">
      <c r="J776" s="40"/>
    </row>
    <row r="777" customFormat="false" ht="15" hidden="false" customHeight="false" outlineLevel="0" collapsed="false">
      <c r="J777" s="40"/>
    </row>
    <row r="778" customFormat="false" ht="15" hidden="false" customHeight="false" outlineLevel="0" collapsed="false">
      <c r="J778" s="40"/>
    </row>
    <row r="779" customFormat="false" ht="15" hidden="false" customHeight="false" outlineLevel="0" collapsed="false">
      <c r="J779" s="40"/>
    </row>
    <row r="780" customFormat="false" ht="15" hidden="false" customHeight="false" outlineLevel="0" collapsed="false">
      <c r="J780" s="40"/>
    </row>
    <row r="781" customFormat="false" ht="15" hidden="false" customHeight="false" outlineLevel="0" collapsed="false">
      <c r="J781" s="40"/>
    </row>
    <row r="782" customFormat="false" ht="15" hidden="false" customHeight="false" outlineLevel="0" collapsed="false">
      <c r="J782" s="40"/>
    </row>
    <row r="783" customFormat="false" ht="15" hidden="false" customHeight="false" outlineLevel="0" collapsed="false">
      <c r="J783" s="40"/>
    </row>
    <row r="784" customFormat="false" ht="15" hidden="false" customHeight="false" outlineLevel="0" collapsed="false">
      <c r="J784" s="40"/>
    </row>
    <row r="785" customFormat="false" ht="15" hidden="false" customHeight="false" outlineLevel="0" collapsed="false">
      <c r="J785" s="40"/>
    </row>
    <row r="786" customFormat="false" ht="15" hidden="false" customHeight="false" outlineLevel="0" collapsed="false">
      <c r="J786" s="40"/>
    </row>
    <row r="787" customFormat="false" ht="15" hidden="false" customHeight="false" outlineLevel="0" collapsed="false">
      <c r="J787" s="40"/>
    </row>
    <row r="788" customFormat="false" ht="15" hidden="false" customHeight="false" outlineLevel="0" collapsed="false">
      <c r="J788" s="40"/>
    </row>
    <row r="789" customFormat="false" ht="15" hidden="false" customHeight="false" outlineLevel="0" collapsed="false">
      <c r="J789" s="40"/>
    </row>
    <row r="790" customFormat="false" ht="15" hidden="false" customHeight="false" outlineLevel="0" collapsed="false">
      <c r="J790" s="40"/>
    </row>
    <row r="791" customFormat="false" ht="15" hidden="false" customHeight="false" outlineLevel="0" collapsed="false">
      <c r="J791" s="40"/>
    </row>
    <row r="792" customFormat="false" ht="15" hidden="false" customHeight="false" outlineLevel="0" collapsed="false">
      <c r="J792" s="40"/>
    </row>
    <row r="793" customFormat="false" ht="15" hidden="false" customHeight="false" outlineLevel="0" collapsed="false">
      <c r="J793" s="40"/>
    </row>
    <row r="794" customFormat="false" ht="15" hidden="false" customHeight="false" outlineLevel="0" collapsed="false">
      <c r="J794" s="40"/>
    </row>
    <row r="795" customFormat="false" ht="15" hidden="false" customHeight="false" outlineLevel="0" collapsed="false">
      <c r="J795" s="40"/>
    </row>
    <row r="796" customFormat="false" ht="15" hidden="false" customHeight="false" outlineLevel="0" collapsed="false">
      <c r="J796" s="40"/>
    </row>
    <row r="797" customFormat="false" ht="15" hidden="false" customHeight="false" outlineLevel="0" collapsed="false">
      <c r="J797" s="40"/>
    </row>
    <row r="798" customFormat="false" ht="15" hidden="false" customHeight="false" outlineLevel="0" collapsed="false">
      <c r="J798" s="40"/>
    </row>
    <row r="799" customFormat="false" ht="15" hidden="false" customHeight="false" outlineLevel="0" collapsed="false">
      <c r="J799" s="40"/>
    </row>
    <row r="800" customFormat="false" ht="15" hidden="false" customHeight="false" outlineLevel="0" collapsed="false">
      <c r="J800" s="40"/>
    </row>
    <row r="801" customFormat="false" ht="15" hidden="false" customHeight="false" outlineLevel="0" collapsed="false">
      <c r="J801" s="40"/>
    </row>
    <row r="802" customFormat="false" ht="15" hidden="false" customHeight="false" outlineLevel="0" collapsed="false">
      <c r="J802" s="40"/>
    </row>
    <row r="803" customFormat="false" ht="15" hidden="false" customHeight="false" outlineLevel="0" collapsed="false">
      <c r="J803" s="40"/>
    </row>
    <row r="804" customFormat="false" ht="15" hidden="false" customHeight="false" outlineLevel="0" collapsed="false">
      <c r="J804" s="40"/>
    </row>
    <row r="805" customFormat="false" ht="15" hidden="false" customHeight="false" outlineLevel="0" collapsed="false">
      <c r="J805" s="40"/>
    </row>
    <row r="806" customFormat="false" ht="15" hidden="false" customHeight="false" outlineLevel="0" collapsed="false">
      <c r="J806" s="40"/>
    </row>
    <row r="807" customFormat="false" ht="15" hidden="false" customHeight="false" outlineLevel="0" collapsed="false">
      <c r="J807" s="40"/>
    </row>
    <row r="808" customFormat="false" ht="15" hidden="false" customHeight="false" outlineLevel="0" collapsed="false">
      <c r="J808" s="40"/>
    </row>
    <row r="809" customFormat="false" ht="15" hidden="false" customHeight="false" outlineLevel="0" collapsed="false">
      <c r="J809" s="40"/>
    </row>
    <row r="810" customFormat="false" ht="15" hidden="false" customHeight="false" outlineLevel="0" collapsed="false">
      <c r="J810" s="40"/>
    </row>
    <row r="811" customFormat="false" ht="15" hidden="false" customHeight="false" outlineLevel="0" collapsed="false">
      <c r="J811" s="40"/>
    </row>
    <row r="812" customFormat="false" ht="15" hidden="false" customHeight="false" outlineLevel="0" collapsed="false">
      <c r="J812" s="40"/>
    </row>
    <row r="813" customFormat="false" ht="15" hidden="false" customHeight="false" outlineLevel="0" collapsed="false">
      <c r="J813" s="40"/>
    </row>
    <row r="814" customFormat="false" ht="15" hidden="false" customHeight="false" outlineLevel="0" collapsed="false">
      <c r="J814" s="40"/>
    </row>
    <row r="815" customFormat="false" ht="15" hidden="false" customHeight="false" outlineLevel="0" collapsed="false">
      <c r="J815" s="40"/>
    </row>
    <row r="816" customFormat="false" ht="15" hidden="false" customHeight="false" outlineLevel="0" collapsed="false">
      <c r="J816" s="40"/>
    </row>
    <row r="817" customFormat="false" ht="15" hidden="false" customHeight="false" outlineLevel="0" collapsed="false">
      <c r="J817" s="40"/>
    </row>
    <row r="818" customFormat="false" ht="15" hidden="false" customHeight="false" outlineLevel="0" collapsed="false">
      <c r="J818" s="40"/>
    </row>
    <row r="819" customFormat="false" ht="15" hidden="false" customHeight="false" outlineLevel="0" collapsed="false">
      <c r="J819" s="40"/>
    </row>
    <row r="820" customFormat="false" ht="15" hidden="false" customHeight="false" outlineLevel="0" collapsed="false">
      <c r="J820" s="40"/>
    </row>
    <row r="821" customFormat="false" ht="15" hidden="false" customHeight="false" outlineLevel="0" collapsed="false">
      <c r="J821" s="40"/>
    </row>
    <row r="822" customFormat="false" ht="15" hidden="false" customHeight="false" outlineLevel="0" collapsed="false">
      <c r="J822" s="40"/>
    </row>
    <row r="823" customFormat="false" ht="15" hidden="false" customHeight="false" outlineLevel="0" collapsed="false">
      <c r="J823" s="40"/>
    </row>
    <row r="824" customFormat="false" ht="15" hidden="false" customHeight="false" outlineLevel="0" collapsed="false">
      <c r="J824" s="40"/>
    </row>
    <row r="825" customFormat="false" ht="15" hidden="false" customHeight="false" outlineLevel="0" collapsed="false">
      <c r="J825" s="40"/>
    </row>
    <row r="826" customFormat="false" ht="15" hidden="false" customHeight="false" outlineLevel="0" collapsed="false">
      <c r="J826" s="40"/>
    </row>
    <row r="827" customFormat="false" ht="15" hidden="false" customHeight="false" outlineLevel="0" collapsed="false">
      <c r="J827" s="40"/>
    </row>
    <row r="828" customFormat="false" ht="15" hidden="false" customHeight="false" outlineLevel="0" collapsed="false">
      <c r="J828" s="40"/>
    </row>
    <row r="829" customFormat="false" ht="15" hidden="false" customHeight="false" outlineLevel="0" collapsed="false">
      <c r="J829" s="40"/>
    </row>
    <row r="830" customFormat="false" ht="15" hidden="false" customHeight="false" outlineLevel="0" collapsed="false">
      <c r="J830" s="40"/>
    </row>
    <row r="831" customFormat="false" ht="15" hidden="false" customHeight="false" outlineLevel="0" collapsed="false">
      <c r="J831" s="40"/>
    </row>
    <row r="832" customFormat="false" ht="15" hidden="false" customHeight="false" outlineLevel="0" collapsed="false">
      <c r="J832" s="40"/>
    </row>
    <row r="833" customFormat="false" ht="15" hidden="false" customHeight="false" outlineLevel="0" collapsed="false">
      <c r="J833" s="40"/>
    </row>
    <row r="834" customFormat="false" ht="15" hidden="false" customHeight="false" outlineLevel="0" collapsed="false">
      <c r="J834" s="40"/>
    </row>
    <row r="835" customFormat="false" ht="15" hidden="false" customHeight="false" outlineLevel="0" collapsed="false">
      <c r="J835" s="40"/>
    </row>
    <row r="836" customFormat="false" ht="15" hidden="false" customHeight="false" outlineLevel="0" collapsed="false">
      <c r="J836" s="40"/>
    </row>
    <row r="837" customFormat="false" ht="15" hidden="false" customHeight="false" outlineLevel="0" collapsed="false">
      <c r="J837" s="40"/>
    </row>
    <row r="838" customFormat="false" ht="15" hidden="false" customHeight="false" outlineLevel="0" collapsed="false">
      <c r="J838" s="40"/>
    </row>
    <row r="839" customFormat="false" ht="15" hidden="false" customHeight="false" outlineLevel="0" collapsed="false">
      <c r="J839" s="40"/>
    </row>
    <row r="840" customFormat="false" ht="15" hidden="false" customHeight="false" outlineLevel="0" collapsed="false">
      <c r="J840" s="40"/>
    </row>
    <row r="841" customFormat="false" ht="15" hidden="false" customHeight="false" outlineLevel="0" collapsed="false">
      <c r="J841" s="40"/>
    </row>
    <row r="842" customFormat="false" ht="15" hidden="false" customHeight="false" outlineLevel="0" collapsed="false">
      <c r="J842" s="40"/>
    </row>
    <row r="843" customFormat="false" ht="15" hidden="false" customHeight="false" outlineLevel="0" collapsed="false">
      <c r="J843" s="40"/>
    </row>
    <row r="844" customFormat="false" ht="15" hidden="false" customHeight="false" outlineLevel="0" collapsed="false">
      <c r="J844" s="40"/>
    </row>
    <row r="845" customFormat="false" ht="15" hidden="false" customHeight="false" outlineLevel="0" collapsed="false">
      <c r="J845" s="40"/>
    </row>
    <row r="846" customFormat="false" ht="15" hidden="false" customHeight="false" outlineLevel="0" collapsed="false">
      <c r="J846" s="40"/>
    </row>
    <row r="847" customFormat="false" ht="15" hidden="false" customHeight="false" outlineLevel="0" collapsed="false">
      <c r="J847" s="40"/>
    </row>
    <row r="848" customFormat="false" ht="15" hidden="false" customHeight="false" outlineLevel="0" collapsed="false">
      <c r="J848" s="40"/>
    </row>
    <row r="849" customFormat="false" ht="15" hidden="false" customHeight="false" outlineLevel="0" collapsed="false">
      <c r="J849" s="40"/>
    </row>
    <row r="850" customFormat="false" ht="15" hidden="false" customHeight="false" outlineLevel="0" collapsed="false">
      <c r="J850" s="40"/>
    </row>
    <row r="851" customFormat="false" ht="15" hidden="false" customHeight="false" outlineLevel="0" collapsed="false">
      <c r="J851" s="40"/>
    </row>
    <row r="852" customFormat="false" ht="15" hidden="false" customHeight="false" outlineLevel="0" collapsed="false">
      <c r="J852" s="40"/>
    </row>
    <row r="853" customFormat="false" ht="15" hidden="false" customHeight="false" outlineLevel="0" collapsed="false">
      <c r="J853" s="40"/>
    </row>
    <row r="854" customFormat="false" ht="15" hidden="false" customHeight="false" outlineLevel="0" collapsed="false">
      <c r="J854" s="40"/>
    </row>
    <row r="855" customFormat="false" ht="15" hidden="false" customHeight="false" outlineLevel="0" collapsed="false">
      <c r="J855" s="40"/>
    </row>
    <row r="856" customFormat="false" ht="15" hidden="false" customHeight="false" outlineLevel="0" collapsed="false">
      <c r="J856" s="40"/>
    </row>
    <row r="857" customFormat="false" ht="15" hidden="false" customHeight="false" outlineLevel="0" collapsed="false">
      <c r="J857" s="40"/>
    </row>
    <row r="858" customFormat="false" ht="15" hidden="false" customHeight="false" outlineLevel="0" collapsed="false">
      <c r="J858" s="40"/>
    </row>
    <row r="859" customFormat="false" ht="15" hidden="false" customHeight="false" outlineLevel="0" collapsed="false">
      <c r="J859" s="40"/>
    </row>
    <row r="860" customFormat="false" ht="15" hidden="false" customHeight="false" outlineLevel="0" collapsed="false">
      <c r="J860" s="40"/>
    </row>
    <row r="861" customFormat="false" ht="15" hidden="false" customHeight="false" outlineLevel="0" collapsed="false">
      <c r="J861" s="40"/>
    </row>
    <row r="862" customFormat="false" ht="15" hidden="false" customHeight="false" outlineLevel="0" collapsed="false">
      <c r="J862" s="40"/>
    </row>
    <row r="863" customFormat="false" ht="15" hidden="false" customHeight="false" outlineLevel="0" collapsed="false">
      <c r="J863" s="40"/>
    </row>
    <row r="864" customFormat="false" ht="15" hidden="false" customHeight="false" outlineLevel="0" collapsed="false">
      <c r="J864" s="40"/>
    </row>
    <row r="865" customFormat="false" ht="15" hidden="false" customHeight="false" outlineLevel="0" collapsed="false">
      <c r="J865" s="40"/>
    </row>
    <row r="866" customFormat="false" ht="15" hidden="false" customHeight="false" outlineLevel="0" collapsed="false">
      <c r="J866" s="40"/>
    </row>
    <row r="867" customFormat="false" ht="15" hidden="false" customHeight="false" outlineLevel="0" collapsed="false">
      <c r="J867" s="40"/>
    </row>
    <row r="868" customFormat="false" ht="15" hidden="false" customHeight="false" outlineLevel="0" collapsed="false">
      <c r="J868" s="40"/>
    </row>
    <row r="869" customFormat="false" ht="15" hidden="false" customHeight="false" outlineLevel="0" collapsed="false">
      <c r="J869" s="40"/>
    </row>
    <row r="870" customFormat="false" ht="15" hidden="false" customHeight="false" outlineLevel="0" collapsed="false">
      <c r="J870" s="40"/>
    </row>
    <row r="871" customFormat="false" ht="15" hidden="false" customHeight="false" outlineLevel="0" collapsed="false">
      <c r="J871" s="40"/>
    </row>
    <row r="872" customFormat="false" ht="15" hidden="false" customHeight="false" outlineLevel="0" collapsed="false">
      <c r="J872" s="40"/>
    </row>
    <row r="873" customFormat="false" ht="15" hidden="false" customHeight="false" outlineLevel="0" collapsed="false">
      <c r="J873" s="40"/>
    </row>
    <row r="874" customFormat="false" ht="15" hidden="false" customHeight="false" outlineLevel="0" collapsed="false">
      <c r="J874" s="40"/>
    </row>
    <row r="875" customFormat="false" ht="15" hidden="false" customHeight="false" outlineLevel="0" collapsed="false">
      <c r="J875" s="40"/>
    </row>
    <row r="876" customFormat="false" ht="15" hidden="false" customHeight="false" outlineLevel="0" collapsed="false">
      <c r="J876" s="40"/>
    </row>
    <row r="877" customFormat="false" ht="15" hidden="false" customHeight="false" outlineLevel="0" collapsed="false">
      <c r="J877" s="40"/>
    </row>
    <row r="878" customFormat="false" ht="15" hidden="false" customHeight="false" outlineLevel="0" collapsed="false">
      <c r="J878" s="40"/>
    </row>
    <row r="879" customFormat="false" ht="15" hidden="false" customHeight="false" outlineLevel="0" collapsed="false">
      <c r="J879" s="40"/>
    </row>
    <row r="880" customFormat="false" ht="15" hidden="false" customHeight="false" outlineLevel="0" collapsed="false">
      <c r="J880" s="40"/>
    </row>
    <row r="881" customFormat="false" ht="15" hidden="false" customHeight="false" outlineLevel="0" collapsed="false">
      <c r="J881" s="40"/>
    </row>
    <row r="882" customFormat="false" ht="15" hidden="false" customHeight="false" outlineLevel="0" collapsed="false">
      <c r="J882" s="40"/>
    </row>
    <row r="883" customFormat="false" ht="15" hidden="false" customHeight="false" outlineLevel="0" collapsed="false">
      <c r="J883" s="40"/>
    </row>
    <row r="884" customFormat="false" ht="15" hidden="false" customHeight="false" outlineLevel="0" collapsed="false">
      <c r="J884" s="40"/>
    </row>
    <row r="885" customFormat="false" ht="15" hidden="false" customHeight="false" outlineLevel="0" collapsed="false">
      <c r="J885" s="40"/>
    </row>
    <row r="886" customFormat="false" ht="15" hidden="false" customHeight="false" outlineLevel="0" collapsed="false">
      <c r="J886" s="40"/>
    </row>
    <row r="887" customFormat="false" ht="15" hidden="false" customHeight="false" outlineLevel="0" collapsed="false">
      <c r="J887" s="40"/>
    </row>
    <row r="888" customFormat="false" ht="15" hidden="false" customHeight="false" outlineLevel="0" collapsed="false">
      <c r="J888" s="40"/>
    </row>
    <row r="889" customFormat="false" ht="15" hidden="false" customHeight="false" outlineLevel="0" collapsed="false">
      <c r="J889" s="40"/>
    </row>
    <row r="890" customFormat="false" ht="15" hidden="false" customHeight="false" outlineLevel="0" collapsed="false">
      <c r="J890" s="40"/>
    </row>
    <row r="891" customFormat="false" ht="15" hidden="false" customHeight="false" outlineLevel="0" collapsed="false">
      <c r="J891" s="40"/>
    </row>
    <row r="892" customFormat="false" ht="15" hidden="false" customHeight="false" outlineLevel="0" collapsed="false">
      <c r="J892" s="40"/>
    </row>
    <row r="893" customFormat="false" ht="15" hidden="false" customHeight="false" outlineLevel="0" collapsed="false">
      <c r="J893" s="40"/>
    </row>
    <row r="894" customFormat="false" ht="15" hidden="false" customHeight="false" outlineLevel="0" collapsed="false">
      <c r="J894" s="40"/>
    </row>
    <row r="895" customFormat="false" ht="15" hidden="false" customHeight="false" outlineLevel="0" collapsed="false">
      <c r="J895" s="40"/>
    </row>
    <row r="896" customFormat="false" ht="15" hidden="false" customHeight="false" outlineLevel="0" collapsed="false">
      <c r="J896" s="40"/>
    </row>
    <row r="897" customFormat="false" ht="15" hidden="false" customHeight="false" outlineLevel="0" collapsed="false">
      <c r="J897" s="40"/>
    </row>
    <row r="898" customFormat="false" ht="15" hidden="false" customHeight="false" outlineLevel="0" collapsed="false">
      <c r="J898" s="40"/>
    </row>
    <row r="899" customFormat="false" ht="15" hidden="false" customHeight="false" outlineLevel="0" collapsed="false">
      <c r="J899" s="40"/>
    </row>
    <row r="900" customFormat="false" ht="15" hidden="false" customHeight="false" outlineLevel="0" collapsed="false">
      <c r="J900" s="40"/>
    </row>
    <row r="901" customFormat="false" ht="15" hidden="false" customHeight="false" outlineLevel="0" collapsed="false">
      <c r="J901" s="40"/>
    </row>
    <row r="902" customFormat="false" ht="15" hidden="false" customHeight="false" outlineLevel="0" collapsed="false">
      <c r="J902" s="40"/>
    </row>
    <row r="903" customFormat="false" ht="15" hidden="false" customHeight="false" outlineLevel="0" collapsed="false">
      <c r="J903" s="40"/>
    </row>
    <row r="904" customFormat="false" ht="15" hidden="false" customHeight="false" outlineLevel="0" collapsed="false">
      <c r="J904" s="40"/>
    </row>
    <row r="905" customFormat="false" ht="15" hidden="false" customHeight="false" outlineLevel="0" collapsed="false">
      <c r="J905" s="40"/>
    </row>
    <row r="906" customFormat="false" ht="15" hidden="false" customHeight="false" outlineLevel="0" collapsed="false">
      <c r="J906" s="40"/>
    </row>
    <row r="907" customFormat="false" ht="15" hidden="false" customHeight="false" outlineLevel="0" collapsed="false">
      <c r="J907" s="40"/>
    </row>
    <row r="908" customFormat="false" ht="15" hidden="false" customHeight="false" outlineLevel="0" collapsed="false">
      <c r="J908" s="40"/>
    </row>
    <row r="909" customFormat="false" ht="15" hidden="false" customHeight="false" outlineLevel="0" collapsed="false">
      <c r="J909" s="40"/>
    </row>
    <row r="910" customFormat="false" ht="15" hidden="false" customHeight="false" outlineLevel="0" collapsed="false">
      <c r="J910" s="40"/>
    </row>
    <row r="911" customFormat="false" ht="15" hidden="false" customHeight="false" outlineLevel="0" collapsed="false">
      <c r="J911" s="40"/>
    </row>
    <row r="912" customFormat="false" ht="15" hidden="false" customHeight="false" outlineLevel="0" collapsed="false">
      <c r="J912" s="40"/>
    </row>
    <row r="913" customFormat="false" ht="15" hidden="false" customHeight="false" outlineLevel="0" collapsed="false">
      <c r="J913" s="40"/>
    </row>
    <row r="914" customFormat="false" ht="15" hidden="false" customHeight="false" outlineLevel="0" collapsed="false">
      <c r="J914" s="40"/>
    </row>
    <row r="915" customFormat="false" ht="15" hidden="false" customHeight="false" outlineLevel="0" collapsed="false">
      <c r="J915" s="40"/>
    </row>
    <row r="916" customFormat="false" ht="15" hidden="false" customHeight="false" outlineLevel="0" collapsed="false">
      <c r="J916" s="40"/>
    </row>
    <row r="917" customFormat="false" ht="15" hidden="false" customHeight="false" outlineLevel="0" collapsed="false">
      <c r="J917" s="40"/>
    </row>
    <row r="918" customFormat="false" ht="15" hidden="false" customHeight="false" outlineLevel="0" collapsed="false">
      <c r="J918" s="40"/>
    </row>
    <row r="919" customFormat="false" ht="15" hidden="false" customHeight="false" outlineLevel="0" collapsed="false">
      <c r="J919" s="40"/>
    </row>
    <row r="920" customFormat="false" ht="15" hidden="false" customHeight="false" outlineLevel="0" collapsed="false">
      <c r="J920" s="40"/>
    </row>
    <row r="921" customFormat="false" ht="15" hidden="false" customHeight="false" outlineLevel="0" collapsed="false">
      <c r="J921" s="40"/>
    </row>
    <row r="922" customFormat="false" ht="15" hidden="false" customHeight="false" outlineLevel="0" collapsed="false">
      <c r="J922" s="40"/>
    </row>
    <row r="923" customFormat="false" ht="15" hidden="false" customHeight="false" outlineLevel="0" collapsed="false">
      <c r="J923" s="40"/>
    </row>
    <row r="924" customFormat="false" ht="15" hidden="false" customHeight="false" outlineLevel="0" collapsed="false">
      <c r="J924" s="40"/>
    </row>
    <row r="925" customFormat="false" ht="15" hidden="false" customHeight="false" outlineLevel="0" collapsed="false">
      <c r="J925" s="40"/>
    </row>
    <row r="926" customFormat="false" ht="15" hidden="false" customHeight="false" outlineLevel="0" collapsed="false">
      <c r="J926" s="40"/>
    </row>
    <row r="927" customFormat="false" ht="15" hidden="false" customHeight="false" outlineLevel="0" collapsed="false">
      <c r="J927" s="40"/>
    </row>
    <row r="928" customFormat="false" ht="15" hidden="false" customHeight="false" outlineLevel="0" collapsed="false">
      <c r="J928" s="40"/>
    </row>
    <row r="929" customFormat="false" ht="15" hidden="false" customHeight="false" outlineLevel="0" collapsed="false">
      <c r="J929" s="40"/>
    </row>
    <row r="930" customFormat="false" ht="15" hidden="false" customHeight="false" outlineLevel="0" collapsed="false">
      <c r="J930" s="40"/>
    </row>
    <row r="931" customFormat="false" ht="15" hidden="false" customHeight="false" outlineLevel="0" collapsed="false">
      <c r="J931" s="40"/>
    </row>
    <row r="932" customFormat="false" ht="15" hidden="false" customHeight="false" outlineLevel="0" collapsed="false">
      <c r="J932" s="40"/>
    </row>
    <row r="933" customFormat="false" ht="15" hidden="false" customHeight="false" outlineLevel="0" collapsed="false">
      <c r="J933" s="40"/>
    </row>
    <row r="934" customFormat="false" ht="15" hidden="false" customHeight="false" outlineLevel="0" collapsed="false">
      <c r="J934" s="40"/>
    </row>
    <row r="935" customFormat="false" ht="15" hidden="false" customHeight="false" outlineLevel="0" collapsed="false">
      <c r="J935" s="40"/>
    </row>
    <row r="936" customFormat="false" ht="15" hidden="false" customHeight="false" outlineLevel="0" collapsed="false">
      <c r="J936" s="40"/>
    </row>
    <row r="937" customFormat="false" ht="15" hidden="false" customHeight="false" outlineLevel="0" collapsed="false">
      <c r="J937" s="40"/>
    </row>
    <row r="938" customFormat="false" ht="15" hidden="false" customHeight="false" outlineLevel="0" collapsed="false">
      <c r="J938" s="40"/>
    </row>
    <row r="939" customFormat="false" ht="15" hidden="false" customHeight="false" outlineLevel="0" collapsed="false">
      <c r="J939" s="40"/>
    </row>
    <row r="940" customFormat="false" ht="15" hidden="false" customHeight="false" outlineLevel="0" collapsed="false">
      <c r="J940" s="40"/>
    </row>
    <row r="941" customFormat="false" ht="15" hidden="false" customHeight="false" outlineLevel="0" collapsed="false">
      <c r="J941" s="40"/>
    </row>
    <row r="942" customFormat="false" ht="15" hidden="false" customHeight="false" outlineLevel="0" collapsed="false">
      <c r="J942" s="40"/>
    </row>
    <row r="943" customFormat="false" ht="15" hidden="false" customHeight="false" outlineLevel="0" collapsed="false">
      <c r="J943" s="40"/>
    </row>
    <row r="944" customFormat="false" ht="15" hidden="false" customHeight="false" outlineLevel="0" collapsed="false">
      <c r="J944" s="40"/>
    </row>
    <row r="945" customFormat="false" ht="15" hidden="false" customHeight="false" outlineLevel="0" collapsed="false">
      <c r="J945" s="40"/>
    </row>
    <row r="946" customFormat="false" ht="15" hidden="false" customHeight="false" outlineLevel="0" collapsed="false">
      <c r="J946" s="40"/>
    </row>
    <row r="947" customFormat="false" ht="15" hidden="false" customHeight="false" outlineLevel="0" collapsed="false">
      <c r="J947" s="40"/>
    </row>
    <row r="948" customFormat="false" ht="15" hidden="false" customHeight="false" outlineLevel="0" collapsed="false">
      <c r="J948" s="40"/>
    </row>
    <row r="949" customFormat="false" ht="15" hidden="false" customHeight="false" outlineLevel="0" collapsed="false">
      <c r="J949" s="40"/>
    </row>
    <row r="950" customFormat="false" ht="15" hidden="false" customHeight="false" outlineLevel="0" collapsed="false">
      <c r="J950" s="40"/>
    </row>
    <row r="951" customFormat="false" ht="15" hidden="false" customHeight="false" outlineLevel="0" collapsed="false">
      <c r="J951" s="40"/>
    </row>
    <row r="952" customFormat="false" ht="15" hidden="false" customHeight="false" outlineLevel="0" collapsed="false">
      <c r="J952" s="40"/>
    </row>
    <row r="953" customFormat="false" ht="15" hidden="false" customHeight="false" outlineLevel="0" collapsed="false">
      <c r="J953" s="40"/>
    </row>
    <row r="954" customFormat="false" ht="15" hidden="false" customHeight="false" outlineLevel="0" collapsed="false">
      <c r="J954" s="40"/>
    </row>
    <row r="955" customFormat="false" ht="15" hidden="false" customHeight="false" outlineLevel="0" collapsed="false">
      <c r="J955" s="40"/>
    </row>
    <row r="956" customFormat="false" ht="15" hidden="false" customHeight="false" outlineLevel="0" collapsed="false">
      <c r="J956" s="40"/>
    </row>
    <row r="957" customFormat="false" ht="15" hidden="false" customHeight="false" outlineLevel="0" collapsed="false">
      <c r="J957" s="40"/>
    </row>
    <row r="958" customFormat="false" ht="15" hidden="false" customHeight="false" outlineLevel="0" collapsed="false">
      <c r="J958" s="40"/>
    </row>
    <row r="959" customFormat="false" ht="15" hidden="false" customHeight="false" outlineLevel="0" collapsed="false">
      <c r="J959" s="40"/>
    </row>
    <row r="960" customFormat="false" ht="15" hidden="false" customHeight="false" outlineLevel="0" collapsed="false">
      <c r="J960" s="40"/>
    </row>
    <row r="961" customFormat="false" ht="15" hidden="false" customHeight="false" outlineLevel="0" collapsed="false">
      <c r="J961" s="40"/>
    </row>
    <row r="962" customFormat="false" ht="15" hidden="false" customHeight="false" outlineLevel="0" collapsed="false">
      <c r="J962" s="40"/>
    </row>
    <row r="963" customFormat="false" ht="15" hidden="false" customHeight="false" outlineLevel="0" collapsed="false">
      <c r="J963" s="40"/>
    </row>
    <row r="964" customFormat="false" ht="15" hidden="false" customHeight="false" outlineLevel="0" collapsed="false">
      <c r="J964" s="40"/>
    </row>
    <row r="965" customFormat="false" ht="15" hidden="false" customHeight="false" outlineLevel="0" collapsed="false">
      <c r="J965" s="40"/>
    </row>
    <row r="966" customFormat="false" ht="15" hidden="false" customHeight="false" outlineLevel="0" collapsed="false">
      <c r="J966" s="40"/>
    </row>
    <row r="967" customFormat="false" ht="15" hidden="false" customHeight="false" outlineLevel="0" collapsed="false">
      <c r="J967" s="40"/>
    </row>
    <row r="968" customFormat="false" ht="15" hidden="false" customHeight="false" outlineLevel="0" collapsed="false">
      <c r="J968" s="40"/>
    </row>
    <row r="969" customFormat="false" ht="15" hidden="false" customHeight="false" outlineLevel="0" collapsed="false">
      <c r="J969" s="40"/>
    </row>
    <row r="970" customFormat="false" ht="15" hidden="false" customHeight="false" outlineLevel="0" collapsed="false">
      <c r="J970" s="40"/>
    </row>
    <row r="971" customFormat="false" ht="15" hidden="false" customHeight="false" outlineLevel="0" collapsed="false">
      <c r="J971" s="40"/>
    </row>
    <row r="972" customFormat="false" ht="15" hidden="false" customHeight="false" outlineLevel="0" collapsed="false">
      <c r="J972" s="40"/>
    </row>
    <row r="973" customFormat="false" ht="15" hidden="false" customHeight="false" outlineLevel="0" collapsed="false">
      <c r="J973" s="40"/>
    </row>
    <row r="974" customFormat="false" ht="15" hidden="false" customHeight="false" outlineLevel="0" collapsed="false">
      <c r="J974" s="40"/>
    </row>
    <row r="975" customFormat="false" ht="15" hidden="false" customHeight="false" outlineLevel="0" collapsed="false">
      <c r="J975" s="40"/>
    </row>
    <row r="976" customFormat="false" ht="15" hidden="false" customHeight="false" outlineLevel="0" collapsed="false">
      <c r="J976" s="40"/>
    </row>
    <row r="977" customFormat="false" ht="15" hidden="false" customHeight="false" outlineLevel="0" collapsed="false">
      <c r="J977" s="40"/>
    </row>
    <row r="978" customFormat="false" ht="15" hidden="false" customHeight="false" outlineLevel="0" collapsed="false">
      <c r="J978" s="40"/>
    </row>
    <row r="979" customFormat="false" ht="15" hidden="false" customHeight="false" outlineLevel="0" collapsed="false">
      <c r="J979" s="40"/>
    </row>
    <row r="980" customFormat="false" ht="15" hidden="false" customHeight="false" outlineLevel="0" collapsed="false">
      <c r="J980" s="40"/>
    </row>
    <row r="981" customFormat="false" ht="15" hidden="false" customHeight="false" outlineLevel="0" collapsed="false">
      <c r="J981" s="40"/>
    </row>
    <row r="982" customFormat="false" ht="15" hidden="false" customHeight="false" outlineLevel="0" collapsed="false">
      <c r="J982" s="40"/>
    </row>
    <row r="983" customFormat="false" ht="15" hidden="false" customHeight="false" outlineLevel="0" collapsed="false">
      <c r="J983" s="40"/>
    </row>
    <row r="984" customFormat="false" ht="15" hidden="false" customHeight="false" outlineLevel="0" collapsed="false">
      <c r="J984" s="40"/>
    </row>
    <row r="985" customFormat="false" ht="15" hidden="false" customHeight="false" outlineLevel="0" collapsed="false">
      <c r="J985" s="40"/>
    </row>
    <row r="986" customFormat="false" ht="15" hidden="false" customHeight="false" outlineLevel="0" collapsed="false">
      <c r="J986" s="40"/>
    </row>
    <row r="987" customFormat="false" ht="15" hidden="false" customHeight="false" outlineLevel="0" collapsed="false">
      <c r="J987" s="40"/>
    </row>
    <row r="988" customFormat="false" ht="15" hidden="false" customHeight="false" outlineLevel="0" collapsed="false">
      <c r="J988" s="40"/>
    </row>
    <row r="989" customFormat="false" ht="15" hidden="false" customHeight="false" outlineLevel="0" collapsed="false">
      <c r="J989" s="40"/>
    </row>
    <row r="990" customFormat="false" ht="15" hidden="false" customHeight="false" outlineLevel="0" collapsed="false">
      <c r="J990" s="40"/>
    </row>
    <row r="991" customFormat="false" ht="15" hidden="false" customHeight="false" outlineLevel="0" collapsed="false">
      <c r="J991" s="40"/>
    </row>
    <row r="992" customFormat="false" ht="15" hidden="false" customHeight="false" outlineLevel="0" collapsed="false">
      <c r="J992" s="40"/>
    </row>
    <row r="993" customFormat="false" ht="15" hidden="false" customHeight="false" outlineLevel="0" collapsed="false">
      <c r="J993" s="40"/>
    </row>
    <row r="994" customFormat="false" ht="15" hidden="false" customHeight="false" outlineLevel="0" collapsed="false">
      <c r="J994" s="40"/>
    </row>
    <row r="995" customFormat="false" ht="15" hidden="false" customHeight="false" outlineLevel="0" collapsed="false">
      <c r="J995" s="40"/>
    </row>
    <row r="996" customFormat="false" ht="15" hidden="false" customHeight="false" outlineLevel="0" collapsed="false">
      <c r="J996" s="40"/>
    </row>
    <row r="997" customFormat="false" ht="15" hidden="false" customHeight="false" outlineLevel="0" collapsed="false">
      <c r="J997" s="40"/>
    </row>
    <row r="998" customFormat="false" ht="15" hidden="false" customHeight="false" outlineLevel="0" collapsed="false">
      <c r="J998" s="40"/>
    </row>
    <row r="999" customFormat="false" ht="15" hidden="false" customHeight="false" outlineLevel="0" collapsed="false">
      <c r="J999" s="40"/>
    </row>
    <row r="1000" customFormat="false" ht="15" hidden="false" customHeight="false" outlineLevel="0" collapsed="false">
      <c r="J1000" s="40"/>
    </row>
  </sheetData>
  <autoFilter ref="A1:J1000"/>
  <conditionalFormatting sqref="I2:I1000">
    <cfRule type="cellIs" priority="2" operator="equal" aboveAverage="0" equalAverage="0" bottom="0" percent="0" rank="0" text="" dxfId="11">
      <formula>"open"</formula>
    </cfRule>
    <cfRule type="cellIs" priority="3" operator="equal" aboveAverage="0" equalAverage="0" bottom="0" percent="0" rank="0" text="" dxfId="12">
      <formula>"matched"</formula>
    </cfRule>
    <cfRule type="cellIs" priority="4" operator="equal" aboveAverage="0" equalAverage="0" bottom="0" percent="0" rank="0" text="" dxfId="13">
      <formula>"claim_pending"</formula>
    </cfRule>
    <cfRule type="cellIs" priority="5" operator="equal" aboveAverage="0" equalAverage="0" bottom="0" percent="0" rank="0" text="" dxfId="14">
      <formula>"claimed"</formula>
    </cfRule>
  </conditionalFormatting>
  <conditionalFormatting sqref="B2:B1000">
    <cfRule type="cellIs" priority="6" operator="equal" aboveAverage="0" equalAverage="0" bottom="0" percent="0" rank="0" text="" dxfId="15">
      <formula>"lost"</formula>
    </cfRule>
    <cfRule type="cellIs" priority="7" operator="equal" aboveAverage="0" equalAverage="0" bottom="0" percent="0" rank="0" text="" dxfId="16">
      <formula>"found"</formula>
    </cfRule>
  </conditionalFormatting>
  <dataValidations count="5">
    <dataValidation allowBlank="true" error="id must be a whole number &gt;= 1." errorStyle="stop" errorTitle="Invalid id" operator="greaterThanOrEqual" showDropDown="false" showErrorMessage="true" showInputMessage="false" sqref="A2:A1000" type="whole">
      <formula1>1</formula1>
      <formula2>0</formula2>
    </dataValidation>
    <dataValidation allowBlank="true" error="Pick a value from the lost_found.kind list (see the Lists sheet)." errorStyle="stop" errorTitle="Not in list" operator="between" showDropDown="false" showErrorMessage="true" showInputMessage="false" sqref="B2:B1000" type="list">
      <formula1>Lists!$C$2:$C$3</formula1>
      <formula2>0</formula2>
    </dataValidation>
    <dataValidation allowBlank="true" error="Pick a value from the lost_found.source list (see the Lists sheet)." errorStyle="stop" errorTitle="Not in list" operator="between" showDropDown="false" showErrorMessage="true" showInputMessage="false" sqref="H2:H1000" type="list">
      <formula1>Lists!$D$2:$D$3</formula1>
      <formula2>0</formula2>
    </dataValidation>
    <dataValidation allowBlank="true" error="Pick a value from the lost_found.status list (see the Lists sheet)." errorStyle="stop" errorTitle="Not in list" operator="between" showDropDown="false" showErrorMessage="true" showInputMessage="false" sqref="I2:I1000" type="list">
      <formula1>Lists!$E$2:$E$5</formula1>
      <formula2>0</formula2>
    </dataValidation>
    <dataValidation allowBlank="true" error="WhatsApp ids look like 919876543210@c.us (or ...@lid). Empty is fine for camera items." errorStyle="warning" errorTitle="Check format" operator="between" showDropDown="false" showErrorMessage="true" showInputMessage="false" sqref="G2:G1000" type="custom">
      <formula1>OR(G2="",RIGHT(G2,5)="@c.us",RIGHT(G2,4)="@lid")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52"/>
    <col collapsed="false" customWidth="true" hidden="false" outlineLevel="0" max="7" min="7" style="0" width="7"/>
    <col collapsed="false" customWidth="true" hidden="false" outlineLevel="0" max="8" min="8" style="0" width="26"/>
    <col collapsed="false" customWidth="true" hidden="false" outlineLevel="0" max="9" min="9" style="0" width="21"/>
  </cols>
  <sheetData>
    <row r="1" customFormat="false" ht="21.75" hidden="false" customHeight="true" outlineLevel="0" collapsed="false">
      <c r="A1" s="6" t="s">
        <v>132</v>
      </c>
      <c r="B1" s="6" t="s">
        <v>199</v>
      </c>
      <c r="C1" s="6" t="s">
        <v>205</v>
      </c>
      <c r="D1" s="6" t="s">
        <v>212</v>
      </c>
      <c r="E1" s="6" t="s">
        <v>218</v>
      </c>
      <c r="F1" s="6" t="s">
        <v>167</v>
      </c>
      <c r="G1" s="6" t="s">
        <v>224</v>
      </c>
      <c r="H1" s="6" t="s">
        <v>179</v>
      </c>
      <c r="I1" s="6" t="s">
        <v>191</v>
      </c>
    </row>
    <row r="2" customFormat="false" ht="23.85" hidden="false" customHeight="false" outlineLevel="0" collapsed="false">
      <c r="A2" s="36" t="n">
        <v>1</v>
      </c>
      <c r="B2" s="36" t="s">
        <v>537</v>
      </c>
      <c r="C2" s="36" t="s">
        <v>538</v>
      </c>
      <c r="D2" s="36" t="s">
        <v>216</v>
      </c>
      <c r="E2" s="36" t="s">
        <v>539</v>
      </c>
      <c r="F2" s="8" t="s">
        <v>540</v>
      </c>
      <c r="G2" s="36" t="n">
        <v>0</v>
      </c>
      <c r="H2" s="36" t="s">
        <v>541</v>
      </c>
      <c r="I2" s="37" t="s">
        <v>542</v>
      </c>
    </row>
    <row r="3" customFormat="false" ht="23.85" hidden="false" customHeight="false" outlineLevel="0" collapsed="false">
      <c r="A3" s="38" t="n">
        <v>2</v>
      </c>
      <c r="B3" s="38" t="s">
        <v>203</v>
      </c>
      <c r="C3" s="38" t="s">
        <v>210</v>
      </c>
      <c r="D3" s="38" t="s">
        <v>543</v>
      </c>
      <c r="E3" s="38" t="s">
        <v>219</v>
      </c>
      <c r="F3" s="34" t="s">
        <v>544</v>
      </c>
      <c r="G3" s="38" t="n">
        <v>1</v>
      </c>
      <c r="H3" s="38" t="s">
        <v>233</v>
      </c>
      <c r="I3" s="39" t="s">
        <v>237</v>
      </c>
    </row>
    <row r="4" customFormat="false" ht="23.85" hidden="false" customHeight="false" outlineLevel="0" collapsed="false">
      <c r="A4" s="36" t="n">
        <v>3</v>
      </c>
      <c r="B4" s="36" t="s">
        <v>545</v>
      </c>
      <c r="C4" s="36" t="s">
        <v>546</v>
      </c>
      <c r="D4" s="36" t="s">
        <v>547</v>
      </c>
      <c r="E4" s="36" t="s">
        <v>548</v>
      </c>
      <c r="F4" s="8" t="s">
        <v>549</v>
      </c>
      <c r="G4" s="36" t="n">
        <v>0</v>
      </c>
      <c r="H4" s="36" t="s">
        <v>550</v>
      </c>
      <c r="I4" s="37" t="s">
        <v>551</v>
      </c>
    </row>
    <row r="5" customFormat="false" ht="15" hidden="false" customHeight="false" outlineLevel="0" collapsed="false">
      <c r="A5" s="38" t="n">
        <v>4</v>
      </c>
      <c r="B5" s="38" t="s">
        <v>552</v>
      </c>
      <c r="C5" s="38" t="s">
        <v>553</v>
      </c>
      <c r="D5" s="38" t="s">
        <v>554</v>
      </c>
      <c r="E5" s="38" t="s">
        <v>555</v>
      </c>
      <c r="F5" s="34" t="s">
        <v>556</v>
      </c>
      <c r="G5" s="38" t="n">
        <v>1</v>
      </c>
      <c r="H5" s="38" t="s">
        <v>557</v>
      </c>
      <c r="I5" s="39" t="s">
        <v>558</v>
      </c>
    </row>
    <row r="6" customFormat="false" ht="23.85" hidden="false" customHeight="false" outlineLevel="0" collapsed="false">
      <c r="A6" s="36" t="n">
        <v>5</v>
      </c>
      <c r="B6" s="36" t="s">
        <v>559</v>
      </c>
      <c r="C6" s="36" t="s">
        <v>560</v>
      </c>
      <c r="D6" s="36" t="s">
        <v>561</v>
      </c>
      <c r="E6" s="36" t="s">
        <v>562</v>
      </c>
      <c r="F6" s="8" t="s">
        <v>563</v>
      </c>
      <c r="G6" s="36" t="n">
        <v>0</v>
      </c>
      <c r="H6" s="36" t="s">
        <v>564</v>
      </c>
      <c r="I6" s="37" t="s">
        <v>565</v>
      </c>
    </row>
    <row r="7" customFormat="false" ht="23.85" hidden="false" customHeight="false" outlineLevel="0" collapsed="false">
      <c r="A7" s="38" t="n">
        <v>6</v>
      </c>
      <c r="B7" s="38" t="s">
        <v>566</v>
      </c>
      <c r="C7" s="38" t="s">
        <v>567</v>
      </c>
      <c r="D7" s="38" t="s">
        <v>568</v>
      </c>
      <c r="E7" s="38" t="s">
        <v>569</v>
      </c>
      <c r="F7" s="34" t="s">
        <v>570</v>
      </c>
      <c r="G7" s="38" t="n">
        <v>1</v>
      </c>
      <c r="H7" s="38" t="s">
        <v>571</v>
      </c>
      <c r="I7" s="39" t="s">
        <v>572</v>
      </c>
    </row>
    <row r="8" customFormat="false" ht="15" hidden="false" customHeight="false" outlineLevel="0" collapsed="false">
      <c r="A8" s="36" t="n">
        <v>7</v>
      </c>
      <c r="B8" s="36" t="s">
        <v>573</v>
      </c>
      <c r="C8" s="36" t="s">
        <v>574</v>
      </c>
      <c r="D8" s="36" t="s">
        <v>575</v>
      </c>
      <c r="E8" s="36" t="s">
        <v>576</v>
      </c>
      <c r="F8" s="8" t="s">
        <v>577</v>
      </c>
      <c r="G8" s="36" t="n">
        <v>0</v>
      </c>
      <c r="H8" s="36" t="s">
        <v>578</v>
      </c>
      <c r="I8" s="37" t="s">
        <v>579</v>
      </c>
    </row>
    <row r="9" customFormat="false" ht="23.85" hidden="false" customHeight="false" outlineLevel="0" collapsed="false">
      <c r="A9" s="38" t="n">
        <v>8</v>
      </c>
      <c r="B9" s="38" t="s">
        <v>580</v>
      </c>
      <c r="C9" s="38" t="s">
        <v>567</v>
      </c>
      <c r="D9" s="38" t="s">
        <v>581</v>
      </c>
      <c r="E9" s="38" t="s">
        <v>582</v>
      </c>
      <c r="F9" s="34" t="s">
        <v>583</v>
      </c>
      <c r="G9" s="38" t="n">
        <v>1</v>
      </c>
      <c r="H9" s="38" t="s">
        <v>571</v>
      </c>
      <c r="I9" s="39" t="s">
        <v>584</v>
      </c>
    </row>
    <row r="10" customFormat="false" ht="23.85" hidden="false" customHeight="false" outlineLevel="0" collapsed="false">
      <c r="A10" s="36" t="n">
        <v>9</v>
      </c>
      <c r="B10" s="36" t="s">
        <v>585</v>
      </c>
      <c r="C10" s="36" t="s">
        <v>586</v>
      </c>
      <c r="D10" s="36" t="s">
        <v>587</v>
      </c>
      <c r="E10" s="36" t="s">
        <v>588</v>
      </c>
      <c r="F10" s="8" t="s">
        <v>589</v>
      </c>
      <c r="G10" s="36" t="n">
        <v>0</v>
      </c>
      <c r="H10" s="36" t="s">
        <v>590</v>
      </c>
      <c r="I10" s="37" t="s">
        <v>591</v>
      </c>
    </row>
    <row r="11" customFormat="false" ht="15" hidden="false" customHeight="false" outlineLevel="0" collapsed="false">
      <c r="A11" s="38" t="n">
        <v>10</v>
      </c>
      <c r="B11" s="38" t="s">
        <v>592</v>
      </c>
      <c r="C11" s="38" t="s">
        <v>553</v>
      </c>
      <c r="D11" s="38" t="s">
        <v>593</v>
      </c>
      <c r="E11" s="38" t="s">
        <v>594</v>
      </c>
      <c r="F11" s="34" t="s">
        <v>595</v>
      </c>
      <c r="G11" s="38" t="n">
        <v>0</v>
      </c>
      <c r="H11" s="38" t="s">
        <v>596</v>
      </c>
      <c r="I11" s="39" t="s">
        <v>597</v>
      </c>
    </row>
    <row r="12" customFormat="false" ht="15" hidden="false" customHeight="false" outlineLevel="0" collapsed="false">
      <c r="I12" s="40"/>
    </row>
    <row r="13" customFormat="false" ht="15" hidden="false" customHeight="false" outlineLevel="0" collapsed="false">
      <c r="I13" s="40"/>
    </row>
    <row r="14" customFormat="false" ht="15" hidden="false" customHeight="false" outlineLevel="0" collapsed="false">
      <c r="I14" s="40"/>
    </row>
    <row r="15" customFormat="false" ht="15" hidden="false" customHeight="false" outlineLevel="0" collapsed="false">
      <c r="I15" s="40"/>
    </row>
    <row r="16" customFormat="false" ht="15" hidden="false" customHeight="false" outlineLevel="0" collapsed="false">
      <c r="I16" s="40"/>
    </row>
    <row r="17" customFormat="false" ht="15" hidden="false" customHeight="false" outlineLevel="0" collapsed="false">
      <c r="I17" s="40"/>
    </row>
    <row r="18" customFormat="false" ht="15" hidden="false" customHeight="false" outlineLevel="0" collapsed="false">
      <c r="I18" s="40"/>
    </row>
    <row r="19" customFormat="false" ht="15" hidden="false" customHeight="false" outlineLevel="0" collapsed="false">
      <c r="I19" s="40"/>
    </row>
    <row r="20" customFormat="false" ht="15" hidden="false" customHeight="false" outlineLevel="0" collapsed="false">
      <c r="I20" s="40"/>
    </row>
    <row r="21" customFormat="false" ht="15" hidden="false" customHeight="false" outlineLevel="0" collapsed="false">
      <c r="I21" s="40"/>
    </row>
    <row r="22" customFormat="false" ht="15" hidden="false" customHeight="false" outlineLevel="0" collapsed="false">
      <c r="I22" s="40"/>
    </row>
    <row r="23" customFormat="false" ht="15" hidden="false" customHeight="false" outlineLevel="0" collapsed="false">
      <c r="I23" s="40"/>
    </row>
    <row r="24" customFormat="false" ht="15" hidden="false" customHeight="false" outlineLevel="0" collapsed="false">
      <c r="I24" s="40"/>
    </row>
    <row r="25" customFormat="false" ht="15" hidden="false" customHeight="false" outlineLevel="0" collapsed="false">
      <c r="I25" s="40"/>
    </row>
    <row r="26" customFormat="false" ht="15" hidden="false" customHeight="false" outlineLevel="0" collapsed="false">
      <c r="I26" s="40"/>
    </row>
    <row r="27" customFormat="false" ht="15" hidden="false" customHeight="false" outlineLevel="0" collapsed="false">
      <c r="I27" s="40"/>
    </row>
    <row r="28" customFormat="false" ht="15" hidden="false" customHeight="false" outlineLevel="0" collapsed="false">
      <c r="I28" s="40"/>
    </row>
    <row r="29" customFormat="false" ht="15" hidden="false" customHeight="false" outlineLevel="0" collapsed="false">
      <c r="I29" s="40"/>
    </row>
    <row r="30" customFormat="false" ht="15" hidden="false" customHeight="false" outlineLevel="0" collapsed="false">
      <c r="I30" s="40"/>
    </row>
    <row r="31" customFormat="false" ht="15" hidden="false" customHeight="false" outlineLevel="0" collapsed="false">
      <c r="I31" s="40"/>
    </row>
    <row r="32" customFormat="false" ht="15" hidden="false" customHeight="false" outlineLevel="0" collapsed="false">
      <c r="I32" s="40"/>
    </row>
    <row r="33" customFormat="false" ht="15" hidden="false" customHeight="false" outlineLevel="0" collapsed="false">
      <c r="I33" s="40"/>
    </row>
    <row r="34" customFormat="false" ht="15" hidden="false" customHeight="false" outlineLevel="0" collapsed="false">
      <c r="I34" s="40"/>
    </row>
    <row r="35" customFormat="false" ht="15" hidden="false" customHeight="false" outlineLevel="0" collapsed="false">
      <c r="I35" s="40"/>
    </row>
    <row r="36" customFormat="false" ht="15" hidden="false" customHeight="false" outlineLevel="0" collapsed="false">
      <c r="I36" s="40"/>
    </row>
    <row r="37" customFormat="false" ht="15" hidden="false" customHeight="false" outlineLevel="0" collapsed="false">
      <c r="I37" s="40"/>
    </row>
    <row r="38" customFormat="false" ht="15" hidden="false" customHeight="false" outlineLevel="0" collapsed="false">
      <c r="I38" s="40"/>
    </row>
    <row r="39" customFormat="false" ht="15" hidden="false" customHeight="false" outlineLevel="0" collapsed="false">
      <c r="I39" s="40"/>
    </row>
    <row r="40" customFormat="false" ht="15" hidden="false" customHeight="false" outlineLevel="0" collapsed="false">
      <c r="I40" s="40"/>
    </row>
    <row r="41" customFormat="false" ht="15" hidden="false" customHeight="false" outlineLevel="0" collapsed="false">
      <c r="I41" s="40"/>
    </row>
    <row r="42" customFormat="false" ht="15" hidden="false" customHeight="false" outlineLevel="0" collapsed="false">
      <c r="I42" s="40"/>
    </row>
    <row r="43" customFormat="false" ht="15" hidden="false" customHeight="false" outlineLevel="0" collapsed="false">
      <c r="I43" s="40"/>
    </row>
    <row r="44" customFormat="false" ht="15" hidden="false" customHeight="false" outlineLevel="0" collapsed="false">
      <c r="I44" s="40"/>
    </row>
    <row r="45" customFormat="false" ht="15" hidden="false" customHeight="false" outlineLevel="0" collapsed="false">
      <c r="I45" s="40"/>
    </row>
    <row r="46" customFormat="false" ht="15" hidden="false" customHeight="false" outlineLevel="0" collapsed="false">
      <c r="I46" s="40"/>
    </row>
    <row r="47" customFormat="false" ht="15" hidden="false" customHeight="false" outlineLevel="0" collapsed="false">
      <c r="I47" s="40"/>
    </row>
    <row r="48" customFormat="false" ht="15" hidden="false" customHeight="false" outlineLevel="0" collapsed="false">
      <c r="I48" s="40"/>
    </row>
    <row r="49" customFormat="false" ht="15" hidden="false" customHeight="false" outlineLevel="0" collapsed="false">
      <c r="I49" s="40"/>
    </row>
    <row r="50" customFormat="false" ht="15" hidden="false" customHeight="false" outlineLevel="0" collapsed="false">
      <c r="I50" s="40"/>
    </row>
    <row r="51" customFormat="false" ht="15" hidden="false" customHeight="false" outlineLevel="0" collapsed="false">
      <c r="I51" s="40"/>
    </row>
    <row r="52" customFormat="false" ht="15" hidden="false" customHeight="false" outlineLevel="0" collapsed="false">
      <c r="I52" s="40"/>
    </row>
    <row r="53" customFormat="false" ht="15" hidden="false" customHeight="false" outlineLevel="0" collapsed="false">
      <c r="I53" s="40"/>
    </row>
    <row r="54" customFormat="false" ht="15" hidden="false" customHeight="false" outlineLevel="0" collapsed="false">
      <c r="I54" s="40"/>
    </row>
    <row r="55" customFormat="false" ht="15" hidden="false" customHeight="false" outlineLevel="0" collapsed="false">
      <c r="I55" s="40"/>
    </row>
    <row r="56" customFormat="false" ht="15" hidden="false" customHeight="false" outlineLevel="0" collapsed="false">
      <c r="I56" s="40"/>
    </row>
    <row r="57" customFormat="false" ht="15" hidden="false" customHeight="false" outlineLevel="0" collapsed="false">
      <c r="I57" s="40"/>
    </row>
    <row r="58" customFormat="false" ht="15" hidden="false" customHeight="false" outlineLevel="0" collapsed="false">
      <c r="I58" s="40"/>
    </row>
    <row r="59" customFormat="false" ht="15" hidden="false" customHeight="false" outlineLevel="0" collapsed="false">
      <c r="I59" s="40"/>
    </row>
    <row r="60" customFormat="false" ht="15" hidden="false" customHeight="false" outlineLevel="0" collapsed="false">
      <c r="I60" s="40"/>
    </row>
    <row r="61" customFormat="false" ht="15" hidden="false" customHeight="false" outlineLevel="0" collapsed="false">
      <c r="I61" s="40"/>
    </row>
    <row r="62" customFormat="false" ht="15" hidden="false" customHeight="false" outlineLevel="0" collapsed="false">
      <c r="I62" s="40"/>
    </row>
    <row r="63" customFormat="false" ht="15" hidden="false" customHeight="false" outlineLevel="0" collapsed="false">
      <c r="I63" s="40"/>
    </row>
    <row r="64" customFormat="false" ht="15" hidden="false" customHeight="false" outlineLevel="0" collapsed="false">
      <c r="I64" s="40"/>
    </row>
    <row r="65" customFormat="false" ht="15" hidden="false" customHeight="false" outlineLevel="0" collapsed="false">
      <c r="I65" s="40"/>
    </row>
    <row r="66" customFormat="false" ht="15" hidden="false" customHeight="false" outlineLevel="0" collapsed="false">
      <c r="I66" s="40"/>
    </row>
    <row r="67" customFormat="false" ht="15" hidden="false" customHeight="false" outlineLevel="0" collapsed="false">
      <c r="I67" s="40"/>
    </row>
    <row r="68" customFormat="false" ht="15" hidden="false" customHeight="false" outlineLevel="0" collapsed="false">
      <c r="I68" s="40"/>
    </row>
    <row r="69" customFormat="false" ht="15" hidden="false" customHeight="false" outlineLevel="0" collapsed="false">
      <c r="I69" s="40"/>
    </row>
    <row r="70" customFormat="false" ht="15" hidden="false" customHeight="false" outlineLevel="0" collapsed="false">
      <c r="I70" s="40"/>
    </row>
    <row r="71" customFormat="false" ht="15" hidden="false" customHeight="false" outlineLevel="0" collapsed="false">
      <c r="I71" s="40"/>
    </row>
    <row r="72" customFormat="false" ht="15" hidden="false" customHeight="false" outlineLevel="0" collapsed="false">
      <c r="I72" s="40"/>
    </row>
    <row r="73" customFormat="false" ht="15" hidden="false" customHeight="false" outlineLevel="0" collapsed="false">
      <c r="I73" s="40"/>
    </row>
    <row r="74" customFormat="false" ht="15" hidden="false" customHeight="false" outlineLevel="0" collapsed="false">
      <c r="I74" s="40"/>
    </row>
    <row r="75" customFormat="false" ht="15" hidden="false" customHeight="false" outlineLevel="0" collapsed="false">
      <c r="I75" s="40"/>
    </row>
    <row r="76" customFormat="false" ht="15" hidden="false" customHeight="false" outlineLevel="0" collapsed="false">
      <c r="I76" s="40"/>
    </row>
    <row r="77" customFormat="false" ht="15" hidden="false" customHeight="false" outlineLevel="0" collapsed="false">
      <c r="I77" s="40"/>
    </row>
    <row r="78" customFormat="false" ht="15" hidden="false" customHeight="false" outlineLevel="0" collapsed="false">
      <c r="I78" s="40"/>
    </row>
    <row r="79" customFormat="false" ht="15" hidden="false" customHeight="false" outlineLevel="0" collapsed="false">
      <c r="I79" s="40"/>
    </row>
    <row r="80" customFormat="false" ht="15" hidden="false" customHeight="false" outlineLevel="0" collapsed="false">
      <c r="I80" s="40"/>
    </row>
    <row r="81" customFormat="false" ht="15" hidden="false" customHeight="false" outlineLevel="0" collapsed="false">
      <c r="I81" s="40"/>
    </row>
    <row r="82" customFormat="false" ht="15" hidden="false" customHeight="false" outlineLevel="0" collapsed="false">
      <c r="I82" s="40"/>
    </row>
    <row r="83" customFormat="false" ht="15" hidden="false" customHeight="false" outlineLevel="0" collapsed="false">
      <c r="I83" s="40"/>
    </row>
    <row r="84" customFormat="false" ht="15" hidden="false" customHeight="false" outlineLevel="0" collapsed="false">
      <c r="I84" s="40"/>
    </row>
    <row r="85" customFormat="false" ht="15" hidden="false" customHeight="false" outlineLevel="0" collapsed="false">
      <c r="I85" s="40"/>
    </row>
    <row r="86" customFormat="false" ht="15" hidden="false" customHeight="false" outlineLevel="0" collapsed="false">
      <c r="I86" s="40"/>
    </row>
    <row r="87" customFormat="false" ht="15" hidden="false" customHeight="false" outlineLevel="0" collapsed="false">
      <c r="I87" s="40"/>
    </row>
    <row r="88" customFormat="false" ht="15" hidden="false" customHeight="false" outlineLevel="0" collapsed="false">
      <c r="I88" s="40"/>
    </row>
    <row r="89" customFormat="false" ht="15" hidden="false" customHeight="false" outlineLevel="0" collapsed="false">
      <c r="I89" s="40"/>
    </row>
    <row r="90" customFormat="false" ht="15" hidden="false" customHeight="false" outlineLevel="0" collapsed="false">
      <c r="I90" s="40"/>
    </row>
    <row r="91" customFormat="false" ht="15" hidden="false" customHeight="false" outlineLevel="0" collapsed="false">
      <c r="I91" s="40"/>
    </row>
    <row r="92" customFormat="false" ht="15" hidden="false" customHeight="false" outlineLevel="0" collapsed="false">
      <c r="I92" s="40"/>
    </row>
    <row r="93" customFormat="false" ht="15" hidden="false" customHeight="false" outlineLevel="0" collapsed="false">
      <c r="I93" s="40"/>
    </row>
    <row r="94" customFormat="false" ht="15" hidden="false" customHeight="false" outlineLevel="0" collapsed="false">
      <c r="I94" s="40"/>
    </row>
    <row r="95" customFormat="false" ht="15" hidden="false" customHeight="false" outlineLevel="0" collapsed="false">
      <c r="I95" s="40"/>
    </row>
    <row r="96" customFormat="false" ht="15" hidden="false" customHeight="false" outlineLevel="0" collapsed="false">
      <c r="I96" s="40"/>
    </row>
    <row r="97" customFormat="false" ht="15" hidden="false" customHeight="false" outlineLevel="0" collapsed="false">
      <c r="I97" s="40"/>
    </row>
    <row r="98" customFormat="false" ht="15" hidden="false" customHeight="false" outlineLevel="0" collapsed="false">
      <c r="I98" s="40"/>
    </row>
    <row r="99" customFormat="false" ht="15" hidden="false" customHeight="false" outlineLevel="0" collapsed="false">
      <c r="I99" s="40"/>
    </row>
    <row r="100" customFormat="false" ht="15" hidden="false" customHeight="false" outlineLevel="0" collapsed="false">
      <c r="I100" s="40"/>
    </row>
    <row r="101" customFormat="false" ht="15" hidden="false" customHeight="false" outlineLevel="0" collapsed="false">
      <c r="I101" s="40"/>
    </row>
    <row r="102" customFormat="false" ht="15" hidden="false" customHeight="false" outlineLevel="0" collapsed="false">
      <c r="I102" s="40"/>
    </row>
    <row r="103" customFormat="false" ht="15" hidden="false" customHeight="false" outlineLevel="0" collapsed="false">
      <c r="I103" s="40"/>
    </row>
    <row r="104" customFormat="false" ht="15" hidden="false" customHeight="false" outlineLevel="0" collapsed="false">
      <c r="I104" s="40"/>
    </row>
    <row r="105" customFormat="false" ht="15" hidden="false" customHeight="false" outlineLevel="0" collapsed="false">
      <c r="I105" s="40"/>
    </row>
    <row r="106" customFormat="false" ht="15" hidden="false" customHeight="false" outlineLevel="0" collapsed="false">
      <c r="I106" s="40"/>
    </row>
    <row r="107" customFormat="false" ht="15" hidden="false" customHeight="false" outlineLevel="0" collapsed="false">
      <c r="I107" s="40"/>
    </row>
    <row r="108" customFormat="false" ht="15" hidden="false" customHeight="false" outlineLevel="0" collapsed="false">
      <c r="I108" s="40"/>
    </row>
    <row r="109" customFormat="false" ht="15" hidden="false" customHeight="false" outlineLevel="0" collapsed="false">
      <c r="I109" s="40"/>
    </row>
    <row r="110" customFormat="false" ht="15" hidden="false" customHeight="false" outlineLevel="0" collapsed="false">
      <c r="I110" s="40"/>
    </row>
    <row r="111" customFormat="false" ht="15" hidden="false" customHeight="false" outlineLevel="0" collapsed="false">
      <c r="I111" s="40"/>
    </row>
    <row r="112" customFormat="false" ht="15" hidden="false" customHeight="false" outlineLevel="0" collapsed="false">
      <c r="I112" s="40"/>
    </row>
    <row r="113" customFormat="false" ht="15" hidden="false" customHeight="false" outlineLevel="0" collapsed="false">
      <c r="I113" s="40"/>
    </row>
    <row r="114" customFormat="false" ht="15" hidden="false" customHeight="false" outlineLevel="0" collapsed="false">
      <c r="I114" s="40"/>
    </row>
    <row r="115" customFormat="false" ht="15" hidden="false" customHeight="false" outlineLevel="0" collapsed="false">
      <c r="I115" s="40"/>
    </row>
    <row r="116" customFormat="false" ht="15" hidden="false" customHeight="false" outlineLevel="0" collapsed="false">
      <c r="I116" s="40"/>
    </row>
    <row r="117" customFormat="false" ht="15" hidden="false" customHeight="false" outlineLevel="0" collapsed="false">
      <c r="I117" s="40"/>
    </row>
    <row r="118" customFormat="false" ht="15" hidden="false" customHeight="false" outlineLevel="0" collapsed="false">
      <c r="I118" s="40"/>
    </row>
    <row r="119" customFormat="false" ht="15" hidden="false" customHeight="false" outlineLevel="0" collapsed="false">
      <c r="I119" s="40"/>
    </row>
    <row r="120" customFormat="false" ht="15" hidden="false" customHeight="false" outlineLevel="0" collapsed="false">
      <c r="I120" s="40"/>
    </row>
    <row r="121" customFormat="false" ht="15" hidden="false" customHeight="false" outlineLevel="0" collapsed="false">
      <c r="I121" s="40"/>
    </row>
    <row r="122" customFormat="false" ht="15" hidden="false" customHeight="false" outlineLevel="0" collapsed="false">
      <c r="I122" s="40"/>
    </row>
    <row r="123" customFormat="false" ht="15" hidden="false" customHeight="false" outlineLevel="0" collapsed="false">
      <c r="I123" s="40"/>
    </row>
    <row r="124" customFormat="false" ht="15" hidden="false" customHeight="false" outlineLevel="0" collapsed="false">
      <c r="I124" s="40"/>
    </row>
    <row r="125" customFormat="false" ht="15" hidden="false" customHeight="false" outlineLevel="0" collapsed="false">
      <c r="I125" s="40"/>
    </row>
    <row r="126" customFormat="false" ht="15" hidden="false" customHeight="false" outlineLevel="0" collapsed="false">
      <c r="I126" s="40"/>
    </row>
    <row r="127" customFormat="false" ht="15" hidden="false" customHeight="false" outlineLevel="0" collapsed="false">
      <c r="I127" s="40"/>
    </row>
    <row r="128" customFormat="false" ht="15" hidden="false" customHeight="false" outlineLevel="0" collapsed="false">
      <c r="I128" s="40"/>
    </row>
    <row r="129" customFormat="false" ht="15" hidden="false" customHeight="false" outlineLevel="0" collapsed="false">
      <c r="I129" s="40"/>
    </row>
    <row r="130" customFormat="false" ht="15" hidden="false" customHeight="false" outlineLevel="0" collapsed="false">
      <c r="I130" s="40"/>
    </row>
    <row r="131" customFormat="false" ht="15" hidden="false" customHeight="false" outlineLevel="0" collapsed="false">
      <c r="I131" s="40"/>
    </row>
    <row r="132" customFormat="false" ht="15" hidden="false" customHeight="false" outlineLevel="0" collapsed="false">
      <c r="I132" s="40"/>
    </row>
    <row r="133" customFormat="false" ht="15" hidden="false" customHeight="false" outlineLevel="0" collapsed="false">
      <c r="I133" s="40"/>
    </row>
    <row r="134" customFormat="false" ht="15" hidden="false" customHeight="false" outlineLevel="0" collapsed="false">
      <c r="I134" s="40"/>
    </row>
    <row r="135" customFormat="false" ht="15" hidden="false" customHeight="false" outlineLevel="0" collapsed="false">
      <c r="I135" s="40"/>
    </row>
    <row r="136" customFormat="false" ht="15" hidden="false" customHeight="false" outlineLevel="0" collapsed="false">
      <c r="I136" s="40"/>
    </row>
    <row r="137" customFormat="false" ht="15" hidden="false" customHeight="false" outlineLevel="0" collapsed="false">
      <c r="I137" s="40"/>
    </row>
    <row r="138" customFormat="false" ht="15" hidden="false" customHeight="false" outlineLevel="0" collapsed="false">
      <c r="I138" s="40"/>
    </row>
    <row r="139" customFormat="false" ht="15" hidden="false" customHeight="false" outlineLevel="0" collapsed="false">
      <c r="I139" s="40"/>
    </row>
    <row r="140" customFormat="false" ht="15" hidden="false" customHeight="false" outlineLevel="0" collapsed="false">
      <c r="I140" s="40"/>
    </row>
    <row r="141" customFormat="false" ht="15" hidden="false" customHeight="false" outlineLevel="0" collapsed="false">
      <c r="I141" s="40"/>
    </row>
    <row r="142" customFormat="false" ht="15" hidden="false" customHeight="false" outlineLevel="0" collapsed="false">
      <c r="I142" s="40"/>
    </row>
    <row r="143" customFormat="false" ht="15" hidden="false" customHeight="false" outlineLevel="0" collapsed="false">
      <c r="I143" s="40"/>
    </row>
    <row r="144" customFormat="false" ht="15" hidden="false" customHeight="false" outlineLevel="0" collapsed="false">
      <c r="I144" s="40"/>
    </row>
    <row r="145" customFormat="false" ht="15" hidden="false" customHeight="false" outlineLevel="0" collapsed="false">
      <c r="I145" s="40"/>
    </row>
    <row r="146" customFormat="false" ht="15" hidden="false" customHeight="false" outlineLevel="0" collapsed="false">
      <c r="I146" s="40"/>
    </row>
    <row r="147" customFormat="false" ht="15" hidden="false" customHeight="false" outlineLevel="0" collapsed="false">
      <c r="I147" s="40"/>
    </row>
    <row r="148" customFormat="false" ht="15" hidden="false" customHeight="false" outlineLevel="0" collapsed="false">
      <c r="I148" s="40"/>
    </row>
    <row r="149" customFormat="false" ht="15" hidden="false" customHeight="false" outlineLevel="0" collapsed="false">
      <c r="I149" s="40"/>
    </row>
    <row r="150" customFormat="false" ht="15" hidden="false" customHeight="false" outlineLevel="0" collapsed="false">
      <c r="I150" s="40"/>
    </row>
    <row r="151" customFormat="false" ht="15" hidden="false" customHeight="false" outlineLevel="0" collapsed="false">
      <c r="I151" s="40"/>
    </row>
    <row r="152" customFormat="false" ht="15" hidden="false" customHeight="false" outlineLevel="0" collapsed="false">
      <c r="I152" s="40"/>
    </row>
    <row r="153" customFormat="false" ht="15" hidden="false" customHeight="false" outlineLevel="0" collapsed="false">
      <c r="I153" s="40"/>
    </row>
    <row r="154" customFormat="false" ht="15" hidden="false" customHeight="false" outlineLevel="0" collapsed="false">
      <c r="I154" s="40"/>
    </row>
    <row r="155" customFormat="false" ht="15" hidden="false" customHeight="false" outlineLevel="0" collapsed="false">
      <c r="I155" s="40"/>
    </row>
    <row r="156" customFormat="false" ht="15" hidden="false" customHeight="false" outlineLevel="0" collapsed="false">
      <c r="I156" s="40"/>
    </row>
    <row r="157" customFormat="false" ht="15" hidden="false" customHeight="false" outlineLevel="0" collapsed="false">
      <c r="I157" s="40"/>
    </row>
    <row r="158" customFormat="false" ht="15" hidden="false" customHeight="false" outlineLevel="0" collapsed="false">
      <c r="I158" s="40"/>
    </row>
    <row r="159" customFormat="false" ht="15" hidden="false" customHeight="false" outlineLevel="0" collapsed="false">
      <c r="I159" s="40"/>
    </row>
    <row r="160" customFormat="false" ht="15" hidden="false" customHeight="false" outlineLevel="0" collapsed="false">
      <c r="I160" s="40"/>
    </row>
    <row r="161" customFormat="false" ht="15" hidden="false" customHeight="false" outlineLevel="0" collapsed="false">
      <c r="I161" s="40"/>
    </row>
    <row r="162" customFormat="false" ht="15" hidden="false" customHeight="false" outlineLevel="0" collapsed="false">
      <c r="I162" s="40"/>
    </row>
    <row r="163" customFormat="false" ht="15" hidden="false" customHeight="false" outlineLevel="0" collapsed="false">
      <c r="I163" s="40"/>
    </row>
    <row r="164" customFormat="false" ht="15" hidden="false" customHeight="false" outlineLevel="0" collapsed="false">
      <c r="I164" s="40"/>
    </row>
    <row r="165" customFormat="false" ht="15" hidden="false" customHeight="false" outlineLevel="0" collapsed="false">
      <c r="I165" s="40"/>
    </row>
    <row r="166" customFormat="false" ht="15" hidden="false" customHeight="false" outlineLevel="0" collapsed="false">
      <c r="I166" s="40"/>
    </row>
    <row r="167" customFormat="false" ht="15" hidden="false" customHeight="false" outlineLevel="0" collapsed="false">
      <c r="I167" s="40"/>
    </row>
    <row r="168" customFormat="false" ht="15" hidden="false" customHeight="false" outlineLevel="0" collapsed="false">
      <c r="I168" s="40"/>
    </row>
    <row r="169" customFormat="false" ht="15" hidden="false" customHeight="false" outlineLevel="0" collapsed="false">
      <c r="I169" s="40"/>
    </row>
    <row r="170" customFormat="false" ht="15" hidden="false" customHeight="false" outlineLevel="0" collapsed="false">
      <c r="I170" s="40"/>
    </row>
    <row r="171" customFormat="false" ht="15" hidden="false" customHeight="false" outlineLevel="0" collapsed="false">
      <c r="I171" s="40"/>
    </row>
    <row r="172" customFormat="false" ht="15" hidden="false" customHeight="false" outlineLevel="0" collapsed="false">
      <c r="I172" s="40"/>
    </row>
    <row r="173" customFormat="false" ht="15" hidden="false" customHeight="false" outlineLevel="0" collapsed="false">
      <c r="I173" s="40"/>
    </row>
    <row r="174" customFormat="false" ht="15" hidden="false" customHeight="false" outlineLevel="0" collapsed="false">
      <c r="I174" s="40"/>
    </row>
    <row r="175" customFormat="false" ht="15" hidden="false" customHeight="false" outlineLevel="0" collapsed="false">
      <c r="I175" s="40"/>
    </row>
    <row r="176" customFormat="false" ht="15" hidden="false" customHeight="false" outlineLevel="0" collapsed="false">
      <c r="I176" s="40"/>
    </row>
    <row r="177" customFormat="false" ht="15" hidden="false" customHeight="false" outlineLevel="0" collapsed="false">
      <c r="I177" s="40"/>
    </row>
    <row r="178" customFormat="false" ht="15" hidden="false" customHeight="false" outlineLevel="0" collapsed="false">
      <c r="I178" s="40"/>
    </row>
    <row r="179" customFormat="false" ht="15" hidden="false" customHeight="false" outlineLevel="0" collapsed="false">
      <c r="I179" s="40"/>
    </row>
    <row r="180" customFormat="false" ht="15" hidden="false" customHeight="false" outlineLevel="0" collapsed="false">
      <c r="I180" s="40"/>
    </row>
    <row r="181" customFormat="false" ht="15" hidden="false" customHeight="false" outlineLevel="0" collapsed="false">
      <c r="I181" s="40"/>
    </row>
    <row r="182" customFormat="false" ht="15" hidden="false" customHeight="false" outlineLevel="0" collapsed="false">
      <c r="I182" s="40"/>
    </row>
    <row r="183" customFormat="false" ht="15" hidden="false" customHeight="false" outlineLevel="0" collapsed="false">
      <c r="I183" s="40"/>
    </row>
    <row r="184" customFormat="false" ht="15" hidden="false" customHeight="false" outlineLevel="0" collapsed="false">
      <c r="I184" s="40"/>
    </row>
    <row r="185" customFormat="false" ht="15" hidden="false" customHeight="false" outlineLevel="0" collapsed="false">
      <c r="I185" s="40"/>
    </row>
    <row r="186" customFormat="false" ht="15" hidden="false" customHeight="false" outlineLevel="0" collapsed="false">
      <c r="I186" s="40"/>
    </row>
    <row r="187" customFormat="false" ht="15" hidden="false" customHeight="false" outlineLevel="0" collapsed="false">
      <c r="I187" s="40"/>
    </row>
    <row r="188" customFormat="false" ht="15" hidden="false" customHeight="false" outlineLevel="0" collapsed="false">
      <c r="I188" s="40"/>
    </row>
    <row r="189" customFormat="false" ht="15" hidden="false" customHeight="false" outlineLevel="0" collapsed="false">
      <c r="I189" s="40"/>
    </row>
    <row r="190" customFormat="false" ht="15" hidden="false" customHeight="false" outlineLevel="0" collapsed="false">
      <c r="I190" s="40"/>
    </row>
    <row r="191" customFormat="false" ht="15" hidden="false" customHeight="false" outlineLevel="0" collapsed="false">
      <c r="I191" s="40"/>
    </row>
    <row r="192" customFormat="false" ht="15" hidden="false" customHeight="false" outlineLevel="0" collapsed="false">
      <c r="I192" s="40"/>
    </row>
    <row r="193" customFormat="false" ht="15" hidden="false" customHeight="false" outlineLevel="0" collapsed="false">
      <c r="I193" s="40"/>
    </row>
    <row r="194" customFormat="false" ht="15" hidden="false" customHeight="false" outlineLevel="0" collapsed="false">
      <c r="I194" s="40"/>
    </row>
    <row r="195" customFormat="false" ht="15" hidden="false" customHeight="false" outlineLevel="0" collapsed="false">
      <c r="I195" s="40"/>
    </row>
    <row r="196" customFormat="false" ht="15" hidden="false" customHeight="false" outlineLevel="0" collapsed="false">
      <c r="I196" s="40"/>
    </row>
    <row r="197" customFormat="false" ht="15" hidden="false" customHeight="false" outlineLevel="0" collapsed="false">
      <c r="I197" s="40"/>
    </row>
    <row r="198" customFormat="false" ht="15" hidden="false" customHeight="false" outlineLevel="0" collapsed="false">
      <c r="I198" s="40"/>
    </row>
    <row r="199" customFormat="false" ht="15" hidden="false" customHeight="false" outlineLevel="0" collapsed="false">
      <c r="I199" s="40"/>
    </row>
    <row r="200" customFormat="false" ht="15" hidden="false" customHeight="false" outlineLevel="0" collapsed="false">
      <c r="I200" s="40"/>
    </row>
    <row r="201" customFormat="false" ht="15" hidden="false" customHeight="false" outlineLevel="0" collapsed="false">
      <c r="I201" s="40"/>
    </row>
    <row r="202" customFormat="false" ht="15" hidden="false" customHeight="false" outlineLevel="0" collapsed="false">
      <c r="I202" s="40"/>
    </row>
    <row r="203" customFormat="false" ht="15" hidden="false" customHeight="false" outlineLevel="0" collapsed="false">
      <c r="I203" s="40"/>
    </row>
    <row r="204" customFormat="false" ht="15" hidden="false" customHeight="false" outlineLevel="0" collapsed="false">
      <c r="I204" s="40"/>
    </row>
    <row r="205" customFormat="false" ht="15" hidden="false" customHeight="false" outlineLevel="0" collapsed="false">
      <c r="I205" s="40"/>
    </row>
    <row r="206" customFormat="false" ht="15" hidden="false" customHeight="false" outlineLevel="0" collapsed="false">
      <c r="I206" s="40"/>
    </row>
    <row r="207" customFormat="false" ht="15" hidden="false" customHeight="false" outlineLevel="0" collapsed="false">
      <c r="I207" s="40"/>
    </row>
    <row r="208" customFormat="false" ht="15" hidden="false" customHeight="false" outlineLevel="0" collapsed="false">
      <c r="I208" s="40"/>
    </row>
    <row r="209" customFormat="false" ht="15" hidden="false" customHeight="false" outlineLevel="0" collapsed="false">
      <c r="I209" s="40"/>
    </row>
    <row r="210" customFormat="false" ht="15" hidden="false" customHeight="false" outlineLevel="0" collapsed="false">
      <c r="I210" s="40"/>
    </row>
    <row r="211" customFormat="false" ht="15" hidden="false" customHeight="false" outlineLevel="0" collapsed="false">
      <c r="I211" s="40"/>
    </row>
    <row r="212" customFormat="false" ht="15" hidden="false" customHeight="false" outlineLevel="0" collapsed="false">
      <c r="I212" s="40"/>
    </row>
    <row r="213" customFormat="false" ht="15" hidden="false" customHeight="false" outlineLevel="0" collapsed="false">
      <c r="I213" s="40"/>
    </row>
    <row r="214" customFormat="false" ht="15" hidden="false" customHeight="false" outlineLevel="0" collapsed="false">
      <c r="I214" s="40"/>
    </row>
    <row r="215" customFormat="false" ht="15" hidden="false" customHeight="false" outlineLevel="0" collapsed="false">
      <c r="I215" s="40"/>
    </row>
    <row r="216" customFormat="false" ht="15" hidden="false" customHeight="false" outlineLevel="0" collapsed="false">
      <c r="I216" s="40"/>
    </row>
    <row r="217" customFormat="false" ht="15" hidden="false" customHeight="false" outlineLevel="0" collapsed="false">
      <c r="I217" s="40"/>
    </row>
    <row r="218" customFormat="false" ht="15" hidden="false" customHeight="false" outlineLevel="0" collapsed="false">
      <c r="I218" s="40"/>
    </row>
    <row r="219" customFormat="false" ht="15" hidden="false" customHeight="false" outlineLevel="0" collapsed="false">
      <c r="I219" s="40"/>
    </row>
    <row r="220" customFormat="false" ht="15" hidden="false" customHeight="false" outlineLevel="0" collapsed="false">
      <c r="I220" s="40"/>
    </row>
    <row r="221" customFormat="false" ht="15" hidden="false" customHeight="false" outlineLevel="0" collapsed="false">
      <c r="I221" s="40"/>
    </row>
    <row r="222" customFormat="false" ht="15" hidden="false" customHeight="false" outlineLevel="0" collapsed="false">
      <c r="I222" s="40"/>
    </row>
    <row r="223" customFormat="false" ht="15" hidden="false" customHeight="false" outlineLevel="0" collapsed="false">
      <c r="I223" s="40"/>
    </row>
    <row r="224" customFormat="false" ht="15" hidden="false" customHeight="false" outlineLevel="0" collapsed="false">
      <c r="I224" s="40"/>
    </row>
    <row r="225" customFormat="false" ht="15" hidden="false" customHeight="false" outlineLevel="0" collapsed="false">
      <c r="I225" s="40"/>
    </row>
    <row r="226" customFormat="false" ht="15" hidden="false" customHeight="false" outlineLevel="0" collapsed="false">
      <c r="I226" s="40"/>
    </row>
    <row r="227" customFormat="false" ht="15" hidden="false" customHeight="false" outlineLevel="0" collapsed="false">
      <c r="I227" s="40"/>
    </row>
    <row r="228" customFormat="false" ht="15" hidden="false" customHeight="false" outlineLevel="0" collapsed="false">
      <c r="I228" s="40"/>
    </row>
    <row r="229" customFormat="false" ht="15" hidden="false" customHeight="false" outlineLevel="0" collapsed="false">
      <c r="I229" s="40"/>
    </row>
    <row r="230" customFormat="false" ht="15" hidden="false" customHeight="false" outlineLevel="0" collapsed="false">
      <c r="I230" s="40"/>
    </row>
    <row r="231" customFormat="false" ht="15" hidden="false" customHeight="false" outlineLevel="0" collapsed="false">
      <c r="I231" s="40"/>
    </row>
    <row r="232" customFormat="false" ht="15" hidden="false" customHeight="false" outlineLevel="0" collapsed="false">
      <c r="I232" s="40"/>
    </row>
    <row r="233" customFormat="false" ht="15" hidden="false" customHeight="false" outlineLevel="0" collapsed="false">
      <c r="I233" s="40"/>
    </row>
    <row r="234" customFormat="false" ht="15" hidden="false" customHeight="false" outlineLevel="0" collapsed="false">
      <c r="I234" s="40"/>
    </row>
    <row r="235" customFormat="false" ht="15" hidden="false" customHeight="false" outlineLevel="0" collapsed="false">
      <c r="I235" s="40"/>
    </row>
    <row r="236" customFormat="false" ht="15" hidden="false" customHeight="false" outlineLevel="0" collapsed="false">
      <c r="I236" s="40"/>
    </row>
    <row r="237" customFormat="false" ht="15" hidden="false" customHeight="false" outlineLevel="0" collapsed="false">
      <c r="I237" s="40"/>
    </row>
    <row r="238" customFormat="false" ht="15" hidden="false" customHeight="false" outlineLevel="0" collapsed="false">
      <c r="I238" s="40"/>
    </row>
    <row r="239" customFormat="false" ht="15" hidden="false" customHeight="false" outlineLevel="0" collapsed="false">
      <c r="I239" s="40"/>
    </row>
    <row r="240" customFormat="false" ht="15" hidden="false" customHeight="false" outlineLevel="0" collapsed="false">
      <c r="I240" s="40"/>
    </row>
    <row r="241" customFormat="false" ht="15" hidden="false" customHeight="false" outlineLevel="0" collapsed="false">
      <c r="I241" s="40"/>
    </row>
    <row r="242" customFormat="false" ht="15" hidden="false" customHeight="false" outlineLevel="0" collapsed="false">
      <c r="I242" s="40"/>
    </row>
    <row r="243" customFormat="false" ht="15" hidden="false" customHeight="false" outlineLevel="0" collapsed="false">
      <c r="I243" s="40"/>
    </row>
    <row r="244" customFormat="false" ht="15" hidden="false" customHeight="false" outlineLevel="0" collapsed="false">
      <c r="I244" s="40"/>
    </row>
    <row r="245" customFormat="false" ht="15" hidden="false" customHeight="false" outlineLevel="0" collapsed="false">
      <c r="I245" s="40"/>
    </row>
    <row r="246" customFormat="false" ht="15" hidden="false" customHeight="false" outlineLevel="0" collapsed="false">
      <c r="I246" s="40"/>
    </row>
    <row r="247" customFormat="false" ht="15" hidden="false" customHeight="false" outlineLevel="0" collapsed="false">
      <c r="I247" s="40"/>
    </row>
    <row r="248" customFormat="false" ht="15" hidden="false" customHeight="false" outlineLevel="0" collapsed="false">
      <c r="I248" s="40"/>
    </row>
    <row r="249" customFormat="false" ht="15" hidden="false" customHeight="false" outlineLevel="0" collapsed="false">
      <c r="I249" s="40"/>
    </row>
    <row r="250" customFormat="false" ht="15" hidden="false" customHeight="false" outlineLevel="0" collapsed="false">
      <c r="I250" s="40"/>
    </row>
    <row r="251" customFormat="false" ht="15" hidden="false" customHeight="false" outlineLevel="0" collapsed="false">
      <c r="I251" s="40"/>
    </row>
    <row r="252" customFormat="false" ht="15" hidden="false" customHeight="false" outlineLevel="0" collapsed="false">
      <c r="I252" s="40"/>
    </row>
    <row r="253" customFormat="false" ht="15" hidden="false" customHeight="false" outlineLevel="0" collapsed="false">
      <c r="I253" s="40"/>
    </row>
    <row r="254" customFormat="false" ht="15" hidden="false" customHeight="false" outlineLevel="0" collapsed="false">
      <c r="I254" s="40"/>
    </row>
    <row r="255" customFormat="false" ht="15" hidden="false" customHeight="false" outlineLevel="0" collapsed="false">
      <c r="I255" s="40"/>
    </row>
    <row r="256" customFormat="false" ht="15" hidden="false" customHeight="false" outlineLevel="0" collapsed="false">
      <c r="I256" s="40"/>
    </row>
    <row r="257" customFormat="false" ht="15" hidden="false" customHeight="false" outlineLevel="0" collapsed="false">
      <c r="I257" s="40"/>
    </row>
    <row r="258" customFormat="false" ht="15" hidden="false" customHeight="false" outlineLevel="0" collapsed="false">
      <c r="I258" s="40"/>
    </row>
    <row r="259" customFormat="false" ht="15" hidden="false" customHeight="false" outlineLevel="0" collapsed="false">
      <c r="I259" s="40"/>
    </row>
    <row r="260" customFormat="false" ht="15" hidden="false" customHeight="false" outlineLevel="0" collapsed="false">
      <c r="I260" s="40"/>
    </row>
    <row r="261" customFormat="false" ht="15" hidden="false" customHeight="false" outlineLevel="0" collapsed="false">
      <c r="I261" s="40"/>
    </row>
    <row r="262" customFormat="false" ht="15" hidden="false" customHeight="false" outlineLevel="0" collapsed="false">
      <c r="I262" s="40"/>
    </row>
    <row r="263" customFormat="false" ht="15" hidden="false" customHeight="false" outlineLevel="0" collapsed="false">
      <c r="I263" s="40"/>
    </row>
    <row r="264" customFormat="false" ht="15" hidden="false" customHeight="false" outlineLevel="0" collapsed="false">
      <c r="I264" s="40"/>
    </row>
    <row r="265" customFormat="false" ht="15" hidden="false" customHeight="false" outlineLevel="0" collapsed="false">
      <c r="I265" s="40"/>
    </row>
    <row r="266" customFormat="false" ht="15" hidden="false" customHeight="false" outlineLevel="0" collapsed="false">
      <c r="I266" s="40"/>
    </row>
    <row r="267" customFormat="false" ht="15" hidden="false" customHeight="false" outlineLevel="0" collapsed="false">
      <c r="I267" s="40"/>
    </row>
    <row r="268" customFormat="false" ht="15" hidden="false" customHeight="false" outlineLevel="0" collapsed="false">
      <c r="I268" s="40"/>
    </row>
    <row r="269" customFormat="false" ht="15" hidden="false" customHeight="false" outlineLevel="0" collapsed="false">
      <c r="I269" s="40"/>
    </row>
    <row r="270" customFormat="false" ht="15" hidden="false" customHeight="false" outlineLevel="0" collapsed="false">
      <c r="I270" s="40"/>
    </row>
    <row r="271" customFormat="false" ht="15" hidden="false" customHeight="false" outlineLevel="0" collapsed="false">
      <c r="I271" s="40"/>
    </row>
    <row r="272" customFormat="false" ht="15" hidden="false" customHeight="false" outlineLevel="0" collapsed="false">
      <c r="I272" s="40"/>
    </row>
    <row r="273" customFormat="false" ht="15" hidden="false" customHeight="false" outlineLevel="0" collapsed="false">
      <c r="I273" s="40"/>
    </row>
    <row r="274" customFormat="false" ht="15" hidden="false" customHeight="false" outlineLevel="0" collapsed="false">
      <c r="I274" s="40"/>
    </row>
    <row r="275" customFormat="false" ht="15" hidden="false" customHeight="false" outlineLevel="0" collapsed="false">
      <c r="I275" s="40"/>
    </row>
    <row r="276" customFormat="false" ht="15" hidden="false" customHeight="false" outlineLevel="0" collapsed="false">
      <c r="I276" s="40"/>
    </row>
    <row r="277" customFormat="false" ht="15" hidden="false" customHeight="false" outlineLevel="0" collapsed="false">
      <c r="I277" s="40"/>
    </row>
    <row r="278" customFormat="false" ht="15" hidden="false" customHeight="false" outlineLevel="0" collapsed="false">
      <c r="I278" s="40"/>
    </row>
    <row r="279" customFormat="false" ht="15" hidden="false" customHeight="false" outlineLevel="0" collapsed="false">
      <c r="I279" s="40"/>
    </row>
    <row r="280" customFormat="false" ht="15" hidden="false" customHeight="false" outlineLevel="0" collapsed="false">
      <c r="I280" s="40"/>
    </row>
    <row r="281" customFormat="false" ht="15" hidden="false" customHeight="false" outlineLevel="0" collapsed="false">
      <c r="I281" s="40"/>
    </row>
    <row r="282" customFormat="false" ht="15" hidden="false" customHeight="false" outlineLevel="0" collapsed="false">
      <c r="I282" s="40"/>
    </row>
    <row r="283" customFormat="false" ht="15" hidden="false" customHeight="false" outlineLevel="0" collapsed="false">
      <c r="I283" s="40"/>
    </row>
    <row r="284" customFormat="false" ht="15" hidden="false" customHeight="false" outlineLevel="0" collapsed="false">
      <c r="I284" s="40"/>
    </row>
    <row r="285" customFormat="false" ht="15" hidden="false" customHeight="false" outlineLevel="0" collapsed="false">
      <c r="I285" s="40"/>
    </row>
    <row r="286" customFormat="false" ht="15" hidden="false" customHeight="false" outlineLevel="0" collapsed="false">
      <c r="I286" s="40"/>
    </row>
    <row r="287" customFormat="false" ht="15" hidden="false" customHeight="false" outlineLevel="0" collapsed="false">
      <c r="I287" s="40"/>
    </row>
    <row r="288" customFormat="false" ht="15" hidden="false" customHeight="false" outlineLevel="0" collapsed="false">
      <c r="I288" s="40"/>
    </row>
    <row r="289" customFormat="false" ht="15" hidden="false" customHeight="false" outlineLevel="0" collapsed="false">
      <c r="I289" s="40"/>
    </row>
    <row r="290" customFormat="false" ht="15" hidden="false" customHeight="false" outlineLevel="0" collapsed="false">
      <c r="I290" s="40"/>
    </row>
    <row r="291" customFormat="false" ht="15" hidden="false" customHeight="false" outlineLevel="0" collapsed="false">
      <c r="I291" s="40"/>
    </row>
    <row r="292" customFormat="false" ht="15" hidden="false" customHeight="false" outlineLevel="0" collapsed="false">
      <c r="I292" s="40"/>
    </row>
    <row r="293" customFormat="false" ht="15" hidden="false" customHeight="false" outlineLevel="0" collapsed="false">
      <c r="I293" s="40"/>
    </row>
    <row r="294" customFormat="false" ht="15" hidden="false" customHeight="false" outlineLevel="0" collapsed="false">
      <c r="I294" s="40"/>
    </row>
    <row r="295" customFormat="false" ht="15" hidden="false" customHeight="false" outlineLevel="0" collapsed="false">
      <c r="I295" s="40"/>
    </row>
    <row r="296" customFormat="false" ht="15" hidden="false" customHeight="false" outlineLevel="0" collapsed="false">
      <c r="I296" s="40"/>
    </row>
    <row r="297" customFormat="false" ht="15" hidden="false" customHeight="false" outlineLevel="0" collapsed="false">
      <c r="I297" s="40"/>
    </row>
    <row r="298" customFormat="false" ht="15" hidden="false" customHeight="false" outlineLevel="0" collapsed="false">
      <c r="I298" s="40"/>
    </row>
    <row r="299" customFormat="false" ht="15" hidden="false" customHeight="false" outlineLevel="0" collapsed="false">
      <c r="I299" s="40"/>
    </row>
    <row r="300" customFormat="false" ht="15" hidden="false" customHeight="false" outlineLevel="0" collapsed="false">
      <c r="I300" s="40"/>
    </row>
    <row r="301" customFormat="false" ht="15" hidden="false" customHeight="false" outlineLevel="0" collapsed="false">
      <c r="I301" s="40"/>
    </row>
    <row r="302" customFormat="false" ht="15" hidden="false" customHeight="false" outlineLevel="0" collapsed="false">
      <c r="I302" s="40"/>
    </row>
    <row r="303" customFormat="false" ht="15" hidden="false" customHeight="false" outlineLevel="0" collapsed="false">
      <c r="I303" s="40"/>
    </row>
    <row r="304" customFormat="false" ht="15" hidden="false" customHeight="false" outlineLevel="0" collapsed="false">
      <c r="I304" s="40"/>
    </row>
    <row r="305" customFormat="false" ht="15" hidden="false" customHeight="false" outlineLevel="0" collapsed="false">
      <c r="I305" s="40"/>
    </row>
    <row r="306" customFormat="false" ht="15" hidden="false" customHeight="false" outlineLevel="0" collapsed="false">
      <c r="I306" s="40"/>
    </row>
    <row r="307" customFormat="false" ht="15" hidden="false" customHeight="false" outlineLevel="0" collapsed="false">
      <c r="I307" s="40"/>
    </row>
    <row r="308" customFormat="false" ht="15" hidden="false" customHeight="false" outlineLevel="0" collapsed="false">
      <c r="I308" s="40"/>
    </row>
    <row r="309" customFormat="false" ht="15" hidden="false" customHeight="false" outlineLevel="0" collapsed="false">
      <c r="I309" s="40"/>
    </row>
    <row r="310" customFormat="false" ht="15" hidden="false" customHeight="false" outlineLevel="0" collapsed="false">
      <c r="I310" s="40"/>
    </row>
    <row r="311" customFormat="false" ht="15" hidden="false" customHeight="false" outlineLevel="0" collapsed="false">
      <c r="I311" s="40"/>
    </row>
    <row r="312" customFormat="false" ht="15" hidden="false" customHeight="false" outlineLevel="0" collapsed="false">
      <c r="I312" s="40"/>
    </row>
    <row r="313" customFormat="false" ht="15" hidden="false" customHeight="false" outlineLevel="0" collapsed="false">
      <c r="I313" s="40"/>
    </row>
    <row r="314" customFormat="false" ht="15" hidden="false" customHeight="false" outlineLevel="0" collapsed="false">
      <c r="I314" s="40"/>
    </row>
    <row r="315" customFormat="false" ht="15" hidden="false" customHeight="false" outlineLevel="0" collapsed="false">
      <c r="I315" s="40"/>
    </row>
    <row r="316" customFormat="false" ht="15" hidden="false" customHeight="false" outlineLevel="0" collapsed="false">
      <c r="I316" s="40"/>
    </row>
    <row r="317" customFormat="false" ht="15" hidden="false" customHeight="false" outlineLevel="0" collapsed="false">
      <c r="I317" s="40"/>
    </row>
    <row r="318" customFormat="false" ht="15" hidden="false" customHeight="false" outlineLevel="0" collapsed="false">
      <c r="I318" s="40"/>
    </row>
    <row r="319" customFormat="false" ht="15" hidden="false" customHeight="false" outlineLevel="0" collapsed="false">
      <c r="I319" s="40"/>
    </row>
    <row r="320" customFormat="false" ht="15" hidden="false" customHeight="false" outlineLevel="0" collapsed="false">
      <c r="I320" s="40"/>
    </row>
    <row r="321" customFormat="false" ht="15" hidden="false" customHeight="false" outlineLevel="0" collapsed="false">
      <c r="I321" s="40"/>
    </row>
    <row r="322" customFormat="false" ht="15" hidden="false" customHeight="false" outlineLevel="0" collapsed="false">
      <c r="I322" s="40"/>
    </row>
    <row r="323" customFormat="false" ht="15" hidden="false" customHeight="false" outlineLevel="0" collapsed="false">
      <c r="I323" s="40"/>
    </row>
    <row r="324" customFormat="false" ht="15" hidden="false" customHeight="false" outlineLevel="0" collapsed="false">
      <c r="I324" s="40"/>
    </row>
    <row r="325" customFormat="false" ht="15" hidden="false" customHeight="false" outlineLevel="0" collapsed="false">
      <c r="I325" s="40"/>
    </row>
    <row r="326" customFormat="false" ht="15" hidden="false" customHeight="false" outlineLevel="0" collapsed="false">
      <c r="I326" s="40"/>
    </row>
    <row r="327" customFormat="false" ht="15" hidden="false" customHeight="false" outlineLevel="0" collapsed="false">
      <c r="I327" s="40"/>
    </row>
    <row r="328" customFormat="false" ht="15" hidden="false" customHeight="false" outlineLevel="0" collapsed="false">
      <c r="I328" s="40"/>
    </row>
    <row r="329" customFormat="false" ht="15" hidden="false" customHeight="false" outlineLevel="0" collapsed="false">
      <c r="I329" s="40"/>
    </row>
    <row r="330" customFormat="false" ht="15" hidden="false" customHeight="false" outlineLevel="0" collapsed="false">
      <c r="I330" s="40"/>
    </row>
    <row r="331" customFormat="false" ht="15" hidden="false" customHeight="false" outlineLevel="0" collapsed="false">
      <c r="I331" s="40"/>
    </row>
    <row r="332" customFormat="false" ht="15" hidden="false" customHeight="false" outlineLevel="0" collapsed="false">
      <c r="I332" s="40"/>
    </row>
    <row r="333" customFormat="false" ht="15" hidden="false" customHeight="false" outlineLevel="0" collapsed="false">
      <c r="I333" s="40"/>
    </row>
    <row r="334" customFormat="false" ht="15" hidden="false" customHeight="false" outlineLevel="0" collapsed="false">
      <c r="I334" s="40"/>
    </row>
    <row r="335" customFormat="false" ht="15" hidden="false" customHeight="false" outlineLevel="0" collapsed="false">
      <c r="I335" s="40"/>
    </row>
    <row r="336" customFormat="false" ht="15" hidden="false" customHeight="false" outlineLevel="0" collapsed="false">
      <c r="I336" s="40"/>
    </row>
    <row r="337" customFormat="false" ht="15" hidden="false" customHeight="false" outlineLevel="0" collapsed="false">
      <c r="I337" s="40"/>
    </row>
    <row r="338" customFormat="false" ht="15" hidden="false" customHeight="false" outlineLevel="0" collapsed="false">
      <c r="I338" s="40"/>
    </row>
    <row r="339" customFormat="false" ht="15" hidden="false" customHeight="false" outlineLevel="0" collapsed="false">
      <c r="I339" s="40"/>
    </row>
    <row r="340" customFormat="false" ht="15" hidden="false" customHeight="false" outlineLevel="0" collapsed="false">
      <c r="I340" s="40"/>
    </row>
    <row r="341" customFormat="false" ht="15" hidden="false" customHeight="false" outlineLevel="0" collapsed="false">
      <c r="I341" s="40"/>
    </row>
    <row r="342" customFormat="false" ht="15" hidden="false" customHeight="false" outlineLevel="0" collapsed="false">
      <c r="I342" s="40"/>
    </row>
    <row r="343" customFormat="false" ht="15" hidden="false" customHeight="false" outlineLevel="0" collapsed="false">
      <c r="I343" s="40"/>
    </row>
    <row r="344" customFormat="false" ht="15" hidden="false" customHeight="false" outlineLevel="0" collapsed="false">
      <c r="I344" s="40"/>
    </row>
    <row r="345" customFormat="false" ht="15" hidden="false" customHeight="false" outlineLevel="0" collapsed="false">
      <c r="I345" s="40"/>
    </row>
    <row r="346" customFormat="false" ht="15" hidden="false" customHeight="false" outlineLevel="0" collapsed="false">
      <c r="I346" s="40"/>
    </row>
    <row r="347" customFormat="false" ht="15" hidden="false" customHeight="false" outlineLevel="0" collapsed="false">
      <c r="I347" s="40"/>
    </row>
    <row r="348" customFormat="false" ht="15" hidden="false" customHeight="false" outlineLevel="0" collapsed="false">
      <c r="I348" s="40"/>
    </row>
    <row r="349" customFormat="false" ht="15" hidden="false" customHeight="false" outlineLevel="0" collapsed="false">
      <c r="I349" s="40"/>
    </row>
    <row r="350" customFormat="false" ht="15" hidden="false" customHeight="false" outlineLevel="0" collapsed="false">
      <c r="I350" s="40"/>
    </row>
    <row r="351" customFormat="false" ht="15" hidden="false" customHeight="false" outlineLevel="0" collapsed="false">
      <c r="I351" s="40"/>
    </row>
    <row r="352" customFormat="false" ht="15" hidden="false" customHeight="false" outlineLevel="0" collapsed="false">
      <c r="I352" s="40"/>
    </row>
    <row r="353" customFormat="false" ht="15" hidden="false" customHeight="false" outlineLevel="0" collapsed="false">
      <c r="I353" s="40"/>
    </row>
    <row r="354" customFormat="false" ht="15" hidden="false" customHeight="false" outlineLevel="0" collapsed="false">
      <c r="I354" s="40"/>
    </row>
    <row r="355" customFormat="false" ht="15" hidden="false" customHeight="false" outlineLevel="0" collapsed="false">
      <c r="I355" s="40"/>
    </row>
    <row r="356" customFormat="false" ht="15" hidden="false" customHeight="false" outlineLevel="0" collapsed="false">
      <c r="I356" s="40"/>
    </row>
    <row r="357" customFormat="false" ht="15" hidden="false" customHeight="false" outlineLevel="0" collapsed="false">
      <c r="I357" s="40"/>
    </row>
    <row r="358" customFormat="false" ht="15" hidden="false" customHeight="false" outlineLevel="0" collapsed="false">
      <c r="I358" s="40"/>
    </row>
    <row r="359" customFormat="false" ht="15" hidden="false" customHeight="false" outlineLevel="0" collapsed="false">
      <c r="I359" s="40"/>
    </row>
    <row r="360" customFormat="false" ht="15" hidden="false" customHeight="false" outlineLevel="0" collapsed="false">
      <c r="I360" s="40"/>
    </row>
    <row r="361" customFormat="false" ht="15" hidden="false" customHeight="false" outlineLevel="0" collapsed="false">
      <c r="I361" s="40"/>
    </row>
    <row r="362" customFormat="false" ht="15" hidden="false" customHeight="false" outlineLevel="0" collapsed="false">
      <c r="I362" s="40"/>
    </row>
    <row r="363" customFormat="false" ht="15" hidden="false" customHeight="false" outlineLevel="0" collapsed="false">
      <c r="I363" s="40"/>
    </row>
    <row r="364" customFormat="false" ht="15" hidden="false" customHeight="false" outlineLevel="0" collapsed="false">
      <c r="I364" s="40"/>
    </row>
    <row r="365" customFormat="false" ht="15" hidden="false" customHeight="false" outlineLevel="0" collapsed="false">
      <c r="I365" s="40"/>
    </row>
    <row r="366" customFormat="false" ht="15" hidden="false" customHeight="false" outlineLevel="0" collapsed="false">
      <c r="I366" s="40"/>
    </row>
    <row r="367" customFormat="false" ht="15" hidden="false" customHeight="false" outlineLevel="0" collapsed="false">
      <c r="I367" s="40"/>
    </row>
    <row r="368" customFormat="false" ht="15" hidden="false" customHeight="false" outlineLevel="0" collapsed="false">
      <c r="I368" s="40"/>
    </row>
    <row r="369" customFormat="false" ht="15" hidden="false" customHeight="false" outlineLevel="0" collapsed="false">
      <c r="I369" s="40"/>
    </row>
    <row r="370" customFormat="false" ht="15" hidden="false" customHeight="false" outlineLevel="0" collapsed="false">
      <c r="I370" s="40"/>
    </row>
    <row r="371" customFormat="false" ht="15" hidden="false" customHeight="false" outlineLevel="0" collapsed="false">
      <c r="I371" s="40"/>
    </row>
    <row r="372" customFormat="false" ht="15" hidden="false" customHeight="false" outlineLevel="0" collapsed="false">
      <c r="I372" s="40"/>
    </row>
    <row r="373" customFormat="false" ht="15" hidden="false" customHeight="false" outlineLevel="0" collapsed="false">
      <c r="I373" s="40"/>
    </row>
    <row r="374" customFormat="false" ht="15" hidden="false" customHeight="false" outlineLevel="0" collapsed="false">
      <c r="I374" s="40"/>
    </row>
    <row r="375" customFormat="false" ht="15" hidden="false" customHeight="false" outlineLevel="0" collapsed="false">
      <c r="I375" s="40"/>
    </row>
    <row r="376" customFormat="false" ht="15" hidden="false" customHeight="false" outlineLevel="0" collapsed="false">
      <c r="I376" s="40"/>
    </row>
    <row r="377" customFormat="false" ht="15" hidden="false" customHeight="false" outlineLevel="0" collapsed="false">
      <c r="I377" s="40"/>
    </row>
    <row r="378" customFormat="false" ht="15" hidden="false" customHeight="false" outlineLevel="0" collapsed="false">
      <c r="I378" s="40"/>
    </row>
    <row r="379" customFormat="false" ht="15" hidden="false" customHeight="false" outlineLevel="0" collapsed="false">
      <c r="I379" s="40"/>
    </row>
    <row r="380" customFormat="false" ht="15" hidden="false" customHeight="false" outlineLevel="0" collapsed="false">
      <c r="I380" s="40"/>
    </row>
    <row r="381" customFormat="false" ht="15" hidden="false" customHeight="false" outlineLevel="0" collapsed="false">
      <c r="I381" s="40"/>
    </row>
    <row r="382" customFormat="false" ht="15" hidden="false" customHeight="false" outlineLevel="0" collapsed="false">
      <c r="I382" s="40"/>
    </row>
    <row r="383" customFormat="false" ht="15" hidden="false" customHeight="false" outlineLevel="0" collapsed="false">
      <c r="I383" s="40"/>
    </row>
    <row r="384" customFormat="false" ht="15" hidden="false" customHeight="false" outlineLevel="0" collapsed="false">
      <c r="I384" s="40"/>
    </row>
    <row r="385" customFormat="false" ht="15" hidden="false" customHeight="false" outlineLevel="0" collapsed="false">
      <c r="I385" s="40"/>
    </row>
    <row r="386" customFormat="false" ht="15" hidden="false" customHeight="false" outlineLevel="0" collapsed="false">
      <c r="I386" s="40"/>
    </row>
    <row r="387" customFormat="false" ht="15" hidden="false" customHeight="false" outlineLevel="0" collapsed="false">
      <c r="I387" s="40"/>
    </row>
    <row r="388" customFormat="false" ht="15" hidden="false" customHeight="false" outlineLevel="0" collapsed="false">
      <c r="I388" s="40"/>
    </row>
    <row r="389" customFormat="false" ht="15" hidden="false" customHeight="false" outlineLevel="0" collapsed="false">
      <c r="I389" s="40"/>
    </row>
    <row r="390" customFormat="false" ht="15" hidden="false" customHeight="false" outlineLevel="0" collapsed="false">
      <c r="I390" s="40"/>
    </row>
    <row r="391" customFormat="false" ht="15" hidden="false" customHeight="false" outlineLevel="0" collapsed="false">
      <c r="I391" s="40"/>
    </row>
    <row r="392" customFormat="false" ht="15" hidden="false" customHeight="false" outlineLevel="0" collapsed="false">
      <c r="I392" s="40"/>
    </row>
    <row r="393" customFormat="false" ht="15" hidden="false" customHeight="false" outlineLevel="0" collapsed="false">
      <c r="I393" s="40"/>
    </row>
    <row r="394" customFormat="false" ht="15" hidden="false" customHeight="false" outlineLevel="0" collapsed="false">
      <c r="I394" s="40"/>
    </row>
    <row r="395" customFormat="false" ht="15" hidden="false" customHeight="false" outlineLevel="0" collapsed="false">
      <c r="I395" s="40"/>
    </row>
    <row r="396" customFormat="false" ht="15" hidden="false" customHeight="false" outlineLevel="0" collapsed="false">
      <c r="I396" s="40"/>
    </row>
    <row r="397" customFormat="false" ht="15" hidden="false" customHeight="false" outlineLevel="0" collapsed="false">
      <c r="I397" s="40"/>
    </row>
    <row r="398" customFormat="false" ht="15" hidden="false" customHeight="false" outlineLevel="0" collapsed="false">
      <c r="I398" s="40"/>
    </row>
    <row r="399" customFormat="false" ht="15" hidden="false" customHeight="false" outlineLevel="0" collapsed="false">
      <c r="I399" s="40"/>
    </row>
    <row r="400" customFormat="false" ht="15" hidden="false" customHeight="false" outlineLevel="0" collapsed="false">
      <c r="I400" s="40"/>
    </row>
    <row r="401" customFormat="false" ht="15" hidden="false" customHeight="false" outlineLevel="0" collapsed="false">
      <c r="I401" s="40"/>
    </row>
    <row r="402" customFormat="false" ht="15" hidden="false" customHeight="false" outlineLevel="0" collapsed="false">
      <c r="I402" s="40"/>
    </row>
    <row r="403" customFormat="false" ht="15" hidden="false" customHeight="false" outlineLevel="0" collapsed="false">
      <c r="I403" s="40"/>
    </row>
    <row r="404" customFormat="false" ht="15" hidden="false" customHeight="false" outlineLevel="0" collapsed="false">
      <c r="I404" s="40"/>
    </row>
    <row r="405" customFormat="false" ht="15" hidden="false" customHeight="false" outlineLevel="0" collapsed="false">
      <c r="I405" s="40"/>
    </row>
    <row r="406" customFormat="false" ht="15" hidden="false" customHeight="false" outlineLevel="0" collapsed="false">
      <c r="I406" s="40"/>
    </row>
    <row r="407" customFormat="false" ht="15" hidden="false" customHeight="false" outlineLevel="0" collapsed="false">
      <c r="I407" s="40"/>
    </row>
    <row r="408" customFormat="false" ht="15" hidden="false" customHeight="false" outlineLevel="0" collapsed="false">
      <c r="I408" s="40"/>
    </row>
    <row r="409" customFormat="false" ht="15" hidden="false" customHeight="false" outlineLevel="0" collapsed="false">
      <c r="I409" s="40"/>
    </row>
    <row r="410" customFormat="false" ht="15" hidden="false" customHeight="false" outlineLevel="0" collapsed="false">
      <c r="I410" s="40"/>
    </row>
    <row r="411" customFormat="false" ht="15" hidden="false" customHeight="false" outlineLevel="0" collapsed="false">
      <c r="I411" s="40"/>
    </row>
    <row r="412" customFormat="false" ht="15" hidden="false" customHeight="false" outlineLevel="0" collapsed="false">
      <c r="I412" s="40"/>
    </row>
    <row r="413" customFormat="false" ht="15" hidden="false" customHeight="false" outlineLevel="0" collapsed="false">
      <c r="I413" s="40"/>
    </row>
    <row r="414" customFormat="false" ht="15" hidden="false" customHeight="false" outlineLevel="0" collapsed="false">
      <c r="I414" s="40"/>
    </row>
    <row r="415" customFormat="false" ht="15" hidden="false" customHeight="false" outlineLevel="0" collapsed="false">
      <c r="I415" s="40"/>
    </row>
    <row r="416" customFormat="false" ht="15" hidden="false" customHeight="false" outlineLevel="0" collapsed="false">
      <c r="I416" s="40"/>
    </row>
    <row r="417" customFormat="false" ht="15" hidden="false" customHeight="false" outlineLevel="0" collapsed="false">
      <c r="I417" s="40"/>
    </row>
    <row r="418" customFormat="false" ht="15" hidden="false" customHeight="false" outlineLevel="0" collapsed="false">
      <c r="I418" s="40"/>
    </row>
    <row r="419" customFormat="false" ht="15" hidden="false" customHeight="false" outlineLevel="0" collapsed="false">
      <c r="I419" s="40"/>
    </row>
    <row r="420" customFormat="false" ht="15" hidden="false" customHeight="false" outlineLevel="0" collapsed="false">
      <c r="I420" s="40"/>
    </row>
    <row r="421" customFormat="false" ht="15" hidden="false" customHeight="false" outlineLevel="0" collapsed="false">
      <c r="I421" s="40"/>
    </row>
    <row r="422" customFormat="false" ht="15" hidden="false" customHeight="false" outlineLevel="0" collapsed="false">
      <c r="I422" s="40"/>
    </row>
    <row r="423" customFormat="false" ht="15" hidden="false" customHeight="false" outlineLevel="0" collapsed="false">
      <c r="I423" s="40"/>
    </row>
    <row r="424" customFormat="false" ht="15" hidden="false" customHeight="false" outlineLevel="0" collapsed="false">
      <c r="I424" s="40"/>
    </row>
    <row r="425" customFormat="false" ht="15" hidden="false" customHeight="false" outlineLevel="0" collapsed="false">
      <c r="I425" s="40"/>
    </row>
    <row r="426" customFormat="false" ht="15" hidden="false" customHeight="false" outlineLevel="0" collapsed="false">
      <c r="I426" s="40"/>
    </row>
    <row r="427" customFormat="false" ht="15" hidden="false" customHeight="false" outlineLevel="0" collapsed="false">
      <c r="I427" s="40"/>
    </row>
    <row r="428" customFormat="false" ht="15" hidden="false" customHeight="false" outlineLevel="0" collapsed="false">
      <c r="I428" s="40"/>
    </row>
    <row r="429" customFormat="false" ht="15" hidden="false" customHeight="false" outlineLevel="0" collapsed="false">
      <c r="I429" s="40"/>
    </row>
    <row r="430" customFormat="false" ht="15" hidden="false" customHeight="false" outlineLevel="0" collapsed="false">
      <c r="I430" s="40"/>
    </row>
    <row r="431" customFormat="false" ht="15" hidden="false" customHeight="false" outlineLevel="0" collapsed="false">
      <c r="I431" s="40"/>
    </row>
    <row r="432" customFormat="false" ht="15" hidden="false" customHeight="false" outlineLevel="0" collapsed="false">
      <c r="I432" s="40"/>
    </row>
    <row r="433" customFormat="false" ht="15" hidden="false" customHeight="false" outlineLevel="0" collapsed="false">
      <c r="I433" s="40"/>
    </row>
    <row r="434" customFormat="false" ht="15" hidden="false" customHeight="false" outlineLevel="0" collapsed="false">
      <c r="I434" s="40"/>
    </row>
    <row r="435" customFormat="false" ht="15" hidden="false" customHeight="false" outlineLevel="0" collapsed="false">
      <c r="I435" s="40"/>
    </row>
    <row r="436" customFormat="false" ht="15" hidden="false" customHeight="false" outlineLevel="0" collapsed="false">
      <c r="I436" s="40"/>
    </row>
    <row r="437" customFormat="false" ht="15" hidden="false" customHeight="false" outlineLevel="0" collapsed="false">
      <c r="I437" s="40"/>
    </row>
    <row r="438" customFormat="false" ht="15" hidden="false" customHeight="false" outlineLevel="0" collapsed="false">
      <c r="I438" s="40"/>
    </row>
    <row r="439" customFormat="false" ht="15" hidden="false" customHeight="false" outlineLevel="0" collapsed="false">
      <c r="I439" s="40"/>
    </row>
    <row r="440" customFormat="false" ht="15" hidden="false" customHeight="false" outlineLevel="0" collapsed="false">
      <c r="I440" s="40"/>
    </row>
    <row r="441" customFormat="false" ht="15" hidden="false" customHeight="false" outlineLevel="0" collapsed="false">
      <c r="I441" s="40"/>
    </row>
    <row r="442" customFormat="false" ht="15" hidden="false" customHeight="false" outlineLevel="0" collapsed="false">
      <c r="I442" s="40"/>
    </row>
    <row r="443" customFormat="false" ht="15" hidden="false" customHeight="false" outlineLevel="0" collapsed="false">
      <c r="I443" s="40"/>
    </row>
    <row r="444" customFormat="false" ht="15" hidden="false" customHeight="false" outlineLevel="0" collapsed="false">
      <c r="I444" s="40"/>
    </row>
    <row r="445" customFormat="false" ht="15" hidden="false" customHeight="false" outlineLevel="0" collapsed="false">
      <c r="I445" s="40"/>
    </row>
    <row r="446" customFormat="false" ht="15" hidden="false" customHeight="false" outlineLevel="0" collapsed="false">
      <c r="I446" s="40"/>
    </row>
    <row r="447" customFormat="false" ht="15" hidden="false" customHeight="false" outlineLevel="0" collapsed="false">
      <c r="I447" s="40"/>
    </row>
    <row r="448" customFormat="false" ht="15" hidden="false" customHeight="false" outlineLevel="0" collapsed="false">
      <c r="I448" s="40"/>
    </row>
    <row r="449" customFormat="false" ht="15" hidden="false" customHeight="false" outlineLevel="0" collapsed="false">
      <c r="I449" s="40"/>
    </row>
    <row r="450" customFormat="false" ht="15" hidden="false" customHeight="false" outlineLevel="0" collapsed="false">
      <c r="I450" s="40"/>
    </row>
    <row r="451" customFormat="false" ht="15" hidden="false" customHeight="false" outlineLevel="0" collapsed="false">
      <c r="I451" s="40"/>
    </row>
    <row r="452" customFormat="false" ht="15" hidden="false" customHeight="false" outlineLevel="0" collapsed="false">
      <c r="I452" s="40"/>
    </row>
    <row r="453" customFormat="false" ht="15" hidden="false" customHeight="false" outlineLevel="0" collapsed="false">
      <c r="I453" s="40"/>
    </row>
    <row r="454" customFormat="false" ht="15" hidden="false" customHeight="false" outlineLevel="0" collapsed="false">
      <c r="I454" s="40"/>
    </row>
    <row r="455" customFormat="false" ht="15" hidden="false" customHeight="false" outlineLevel="0" collapsed="false">
      <c r="I455" s="40"/>
    </row>
    <row r="456" customFormat="false" ht="15" hidden="false" customHeight="false" outlineLevel="0" collapsed="false">
      <c r="I456" s="40"/>
    </row>
    <row r="457" customFormat="false" ht="15" hidden="false" customHeight="false" outlineLevel="0" collapsed="false">
      <c r="I457" s="40"/>
    </row>
    <row r="458" customFormat="false" ht="15" hidden="false" customHeight="false" outlineLevel="0" collapsed="false">
      <c r="I458" s="40"/>
    </row>
    <row r="459" customFormat="false" ht="15" hidden="false" customHeight="false" outlineLevel="0" collapsed="false">
      <c r="I459" s="40"/>
    </row>
    <row r="460" customFormat="false" ht="15" hidden="false" customHeight="false" outlineLevel="0" collapsed="false">
      <c r="I460" s="40"/>
    </row>
    <row r="461" customFormat="false" ht="15" hidden="false" customHeight="false" outlineLevel="0" collapsed="false">
      <c r="I461" s="40"/>
    </row>
    <row r="462" customFormat="false" ht="15" hidden="false" customHeight="false" outlineLevel="0" collapsed="false">
      <c r="I462" s="40"/>
    </row>
    <row r="463" customFormat="false" ht="15" hidden="false" customHeight="false" outlineLevel="0" collapsed="false">
      <c r="I463" s="40"/>
    </row>
    <row r="464" customFormat="false" ht="15" hidden="false" customHeight="false" outlineLevel="0" collapsed="false">
      <c r="I464" s="40"/>
    </row>
    <row r="465" customFormat="false" ht="15" hidden="false" customHeight="false" outlineLevel="0" collapsed="false">
      <c r="I465" s="40"/>
    </row>
    <row r="466" customFormat="false" ht="15" hidden="false" customHeight="false" outlineLevel="0" collapsed="false">
      <c r="I466" s="40"/>
    </row>
    <row r="467" customFormat="false" ht="15" hidden="false" customHeight="false" outlineLevel="0" collapsed="false">
      <c r="I467" s="40"/>
    </row>
    <row r="468" customFormat="false" ht="15" hidden="false" customHeight="false" outlineLevel="0" collapsed="false">
      <c r="I468" s="40"/>
    </row>
    <row r="469" customFormat="false" ht="15" hidden="false" customHeight="false" outlineLevel="0" collapsed="false">
      <c r="I469" s="40"/>
    </row>
    <row r="470" customFormat="false" ht="15" hidden="false" customHeight="false" outlineLevel="0" collapsed="false">
      <c r="I470" s="40"/>
    </row>
    <row r="471" customFormat="false" ht="15" hidden="false" customHeight="false" outlineLevel="0" collapsed="false">
      <c r="I471" s="40"/>
    </row>
    <row r="472" customFormat="false" ht="15" hidden="false" customHeight="false" outlineLevel="0" collapsed="false">
      <c r="I472" s="40"/>
    </row>
    <row r="473" customFormat="false" ht="15" hidden="false" customHeight="false" outlineLevel="0" collapsed="false">
      <c r="I473" s="40"/>
    </row>
    <row r="474" customFormat="false" ht="15" hidden="false" customHeight="false" outlineLevel="0" collapsed="false">
      <c r="I474" s="40"/>
    </row>
    <row r="475" customFormat="false" ht="15" hidden="false" customHeight="false" outlineLevel="0" collapsed="false">
      <c r="I475" s="40"/>
    </row>
    <row r="476" customFormat="false" ht="15" hidden="false" customHeight="false" outlineLevel="0" collapsed="false">
      <c r="I476" s="40"/>
    </row>
    <row r="477" customFormat="false" ht="15" hidden="false" customHeight="false" outlineLevel="0" collapsed="false">
      <c r="I477" s="40"/>
    </row>
    <row r="478" customFormat="false" ht="15" hidden="false" customHeight="false" outlineLevel="0" collapsed="false">
      <c r="I478" s="40"/>
    </row>
    <row r="479" customFormat="false" ht="15" hidden="false" customHeight="false" outlineLevel="0" collapsed="false">
      <c r="I479" s="40"/>
    </row>
    <row r="480" customFormat="false" ht="15" hidden="false" customHeight="false" outlineLevel="0" collapsed="false">
      <c r="I480" s="40"/>
    </row>
    <row r="481" customFormat="false" ht="15" hidden="false" customHeight="false" outlineLevel="0" collapsed="false">
      <c r="I481" s="40"/>
    </row>
    <row r="482" customFormat="false" ht="15" hidden="false" customHeight="false" outlineLevel="0" collapsed="false">
      <c r="I482" s="40"/>
    </row>
    <row r="483" customFormat="false" ht="15" hidden="false" customHeight="false" outlineLevel="0" collapsed="false">
      <c r="I483" s="40"/>
    </row>
    <row r="484" customFormat="false" ht="15" hidden="false" customHeight="false" outlineLevel="0" collapsed="false">
      <c r="I484" s="40"/>
    </row>
    <row r="485" customFormat="false" ht="15" hidden="false" customHeight="false" outlineLevel="0" collapsed="false">
      <c r="I485" s="40"/>
    </row>
    <row r="486" customFormat="false" ht="15" hidden="false" customHeight="false" outlineLevel="0" collapsed="false">
      <c r="I486" s="40"/>
    </row>
    <row r="487" customFormat="false" ht="15" hidden="false" customHeight="false" outlineLevel="0" collapsed="false">
      <c r="I487" s="40"/>
    </row>
    <row r="488" customFormat="false" ht="15" hidden="false" customHeight="false" outlineLevel="0" collapsed="false">
      <c r="I488" s="40"/>
    </row>
    <row r="489" customFormat="false" ht="15" hidden="false" customHeight="false" outlineLevel="0" collapsed="false">
      <c r="I489" s="40"/>
    </row>
    <row r="490" customFormat="false" ht="15" hidden="false" customHeight="false" outlineLevel="0" collapsed="false">
      <c r="I490" s="40"/>
    </row>
    <row r="491" customFormat="false" ht="15" hidden="false" customHeight="false" outlineLevel="0" collapsed="false">
      <c r="I491" s="40"/>
    </row>
    <row r="492" customFormat="false" ht="15" hidden="false" customHeight="false" outlineLevel="0" collapsed="false">
      <c r="I492" s="40"/>
    </row>
    <row r="493" customFormat="false" ht="15" hidden="false" customHeight="false" outlineLevel="0" collapsed="false">
      <c r="I493" s="40"/>
    </row>
    <row r="494" customFormat="false" ht="15" hidden="false" customHeight="false" outlineLevel="0" collapsed="false">
      <c r="I494" s="40"/>
    </row>
    <row r="495" customFormat="false" ht="15" hidden="false" customHeight="false" outlineLevel="0" collapsed="false">
      <c r="I495" s="40"/>
    </row>
    <row r="496" customFormat="false" ht="15" hidden="false" customHeight="false" outlineLevel="0" collapsed="false">
      <c r="I496" s="40"/>
    </row>
    <row r="497" customFormat="false" ht="15" hidden="false" customHeight="false" outlineLevel="0" collapsed="false">
      <c r="I497" s="40"/>
    </row>
    <row r="498" customFormat="false" ht="15" hidden="false" customHeight="false" outlineLevel="0" collapsed="false">
      <c r="I498" s="40"/>
    </row>
    <row r="499" customFormat="false" ht="15" hidden="false" customHeight="false" outlineLevel="0" collapsed="false">
      <c r="I499" s="40"/>
    </row>
    <row r="500" customFormat="false" ht="15" hidden="false" customHeight="false" outlineLevel="0" collapsed="false">
      <c r="I500" s="40"/>
    </row>
    <row r="501" customFormat="false" ht="15" hidden="false" customHeight="false" outlineLevel="0" collapsed="false">
      <c r="I501" s="40"/>
    </row>
    <row r="502" customFormat="false" ht="15" hidden="false" customHeight="false" outlineLevel="0" collapsed="false">
      <c r="I502" s="40"/>
    </row>
    <row r="503" customFormat="false" ht="15" hidden="false" customHeight="false" outlineLevel="0" collapsed="false">
      <c r="I503" s="40"/>
    </row>
    <row r="504" customFormat="false" ht="15" hidden="false" customHeight="false" outlineLevel="0" collapsed="false">
      <c r="I504" s="40"/>
    </row>
    <row r="505" customFormat="false" ht="15" hidden="false" customHeight="false" outlineLevel="0" collapsed="false">
      <c r="I505" s="40"/>
    </row>
    <row r="506" customFormat="false" ht="15" hidden="false" customHeight="false" outlineLevel="0" collapsed="false">
      <c r="I506" s="40"/>
    </row>
    <row r="507" customFormat="false" ht="15" hidden="false" customHeight="false" outlineLevel="0" collapsed="false">
      <c r="I507" s="40"/>
    </row>
    <row r="508" customFormat="false" ht="15" hidden="false" customHeight="false" outlineLevel="0" collapsed="false">
      <c r="I508" s="40"/>
    </row>
    <row r="509" customFormat="false" ht="15" hidden="false" customHeight="false" outlineLevel="0" collapsed="false">
      <c r="I509" s="40"/>
    </row>
    <row r="510" customFormat="false" ht="15" hidden="false" customHeight="false" outlineLevel="0" collapsed="false">
      <c r="I510" s="40"/>
    </row>
    <row r="511" customFormat="false" ht="15" hidden="false" customHeight="false" outlineLevel="0" collapsed="false">
      <c r="I511" s="40"/>
    </row>
    <row r="512" customFormat="false" ht="15" hidden="false" customHeight="false" outlineLevel="0" collapsed="false">
      <c r="I512" s="40"/>
    </row>
    <row r="513" customFormat="false" ht="15" hidden="false" customHeight="false" outlineLevel="0" collapsed="false">
      <c r="I513" s="40"/>
    </row>
    <row r="514" customFormat="false" ht="15" hidden="false" customHeight="false" outlineLevel="0" collapsed="false">
      <c r="I514" s="40"/>
    </row>
    <row r="515" customFormat="false" ht="15" hidden="false" customHeight="false" outlineLevel="0" collapsed="false">
      <c r="I515" s="40"/>
    </row>
    <row r="516" customFormat="false" ht="15" hidden="false" customHeight="false" outlineLevel="0" collapsed="false">
      <c r="I516" s="40"/>
    </row>
    <row r="517" customFormat="false" ht="15" hidden="false" customHeight="false" outlineLevel="0" collapsed="false">
      <c r="I517" s="40"/>
    </row>
    <row r="518" customFormat="false" ht="15" hidden="false" customHeight="false" outlineLevel="0" collapsed="false">
      <c r="I518" s="40"/>
    </row>
    <row r="519" customFormat="false" ht="15" hidden="false" customHeight="false" outlineLevel="0" collapsed="false">
      <c r="I519" s="40"/>
    </row>
    <row r="520" customFormat="false" ht="15" hidden="false" customHeight="false" outlineLevel="0" collapsed="false">
      <c r="I520" s="40"/>
    </row>
    <row r="521" customFormat="false" ht="15" hidden="false" customHeight="false" outlineLevel="0" collapsed="false">
      <c r="I521" s="40"/>
    </row>
    <row r="522" customFormat="false" ht="15" hidden="false" customHeight="false" outlineLevel="0" collapsed="false">
      <c r="I522" s="40"/>
    </row>
    <row r="523" customFormat="false" ht="15" hidden="false" customHeight="false" outlineLevel="0" collapsed="false">
      <c r="I523" s="40"/>
    </row>
    <row r="524" customFormat="false" ht="15" hidden="false" customHeight="false" outlineLevel="0" collapsed="false">
      <c r="I524" s="40"/>
    </row>
    <row r="525" customFormat="false" ht="15" hidden="false" customHeight="false" outlineLevel="0" collapsed="false">
      <c r="I525" s="40"/>
    </row>
    <row r="526" customFormat="false" ht="15" hidden="false" customHeight="false" outlineLevel="0" collapsed="false">
      <c r="I526" s="40"/>
    </row>
    <row r="527" customFormat="false" ht="15" hidden="false" customHeight="false" outlineLevel="0" collapsed="false">
      <c r="I527" s="40"/>
    </row>
    <row r="528" customFormat="false" ht="15" hidden="false" customHeight="false" outlineLevel="0" collapsed="false">
      <c r="I528" s="40"/>
    </row>
    <row r="529" customFormat="false" ht="15" hidden="false" customHeight="false" outlineLevel="0" collapsed="false">
      <c r="I529" s="40"/>
    </row>
    <row r="530" customFormat="false" ht="15" hidden="false" customHeight="false" outlineLevel="0" collapsed="false">
      <c r="I530" s="40"/>
    </row>
    <row r="531" customFormat="false" ht="15" hidden="false" customHeight="false" outlineLevel="0" collapsed="false">
      <c r="I531" s="40"/>
    </row>
    <row r="532" customFormat="false" ht="15" hidden="false" customHeight="false" outlineLevel="0" collapsed="false">
      <c r="I532" s="40"/>
    </row>
    <row r="533" customFormat="false" ht="15" hidden="false" customHeight="false" outlineLevel="0" collapsed="false">
      <c r="I533" s="40"/>
    </row>
    <row r="534" customFormat="false" ht="15" hidden="false" customHeight="false" outlineLevel="0" collapsed="false">
      <c r="I534" s="40"/>
    </row>
    <row r="535" customFormat="false" ht="15" hidden="false" customHeight="false" outlineLevel="0" collapsed="false">
      <c r="I535" s="40"/>
    </row>
    <row r="536" customFormat="false" ht="15" hidden="false" customHeight="false" outlineLevel="0" collapsed="false">
      <c r="I536" s="40"/>
    </row>
    <row r="537" customFormat="false" ht="15" hidden="false" customHeight="false" outlineLevel="0" collapsed="false">
      <c r="I537" s="40"/>
    </row>
    <row r="538" customFormat="false" ht="15" hidden="false" customHeight="false" outlineLevel="0" collapsed="false">
      <c r="I538" s="40"/>
    </row>
    <row r="539" customFormat="false" ht="15" hidden="false" customHeight="false" outlineLevel="0" collapsed="false">
      <c r="I539" s="40"/>
    </row>
    <row r="540" customFormat="false" ht="15" hidden="false" customHeight="false" outlineLevel="0" collapsed="false">
      <c r="I540" s="40"/>
    </row>
    <row r="541" customFormat="false" ht="15" hidden="false" customHeight="false" outlineLevel="0" collapsed="false">
      <c r="I541" s="40"/>
    </row>
    <row r="542" customFormat="false" ht="15" hidden="false" customHeight="false" outlineLevel="0" collapsed="false">
      <c r="I542" s="40"/>
    </row>
    <row r="543" customFormat="false" ht="15" hidden="false" customHeight="false" outlineLevel="0" collapsed="false">
      <c r="I543" s="40"/>
    </row>
    <row r="544" customFormat="false" ht="15" hidden="false" customHeight="false" outlineLevel="0" collapsed="false">
      <c r="I544" s="40"/>
    </row>
    <row r="545" customFormat="false" ht="15" hidden="false" customHeight="false" outlineLevel="0" collapsed="false">
      <c r="I545" s="40"/>
    </row>
    <row r="546" customFormat="false" ht="15" hidden="false" customHeight="false" outlineLevel="0" collapsed="false">
      <c r="I546" s="40"/>
    </row>
    <row r="547" customFormat="false" ht="15" hidden="false" customHeight="false" outlineLevel="0" collapsed="false">
      <c r="I547" s="40"/>
    </row>
    <row r="548" customFormat="false" ht="15" hidden="false" customHeight="false" outlineLevel="0" collapsed="false">
      <c r="I548" s="40"/>
    </row>
    <row r="549" customFormat="false" ht="15" hidden="false" customHeight="false" outlineLevel="0" collapsed="false">
      <c r="I549" s="40"/>
    </row>
    <row r="550" customFormat="false" ht="15" hidden="false" customHeight="false" outlineLevel="0" collapsed="false">
      <c r="I550" s="40"/>
    </row>
    <row r="551" customFormat="false" ht="15" hidden="false" customHeight="false" outlineLevel="0" collapsed="false">
      <c r="I551" s="40"/>
    </row>
    <row r="552" customFormat="false" ht="15" hidden="false" customHeight="false" outlineLevel="0" collapsed="false">
      <c r="I552" s="40"/>
    </row>
    <row r="553" customFormat="false" ht="15" hidden="false" customHeight="false" outlineLevel="0" collapsed="false">
      <c r="I553" s="40"/>
    </row>
    <row r="554" customFormat="false" ht="15" hidden="false" customHeight="false" outlineLevel="0" collapsed="false">
      <c r="I554" s="40"/>
    </row>
    <row r="555" customFormat="false" ht="15" hidden="false" customHeight="false" outlineLevel="0" collapsed="false">
      <c r="I555" s="40"/>
    </row>
    <row r="556" customFormat="false" ht="15" hidden="false" customHeight="false" outlineLevel="0" collapsed="false">
      <c r="I556" s="40"/>
    </row>
    <row r="557" customFormat="false" ht="15" hidden="false" customHeight="false" outlineLevel="0" collapsed="false">
      <c r="I557" s="40"/>
    </row>
    <row r="558" customFormat="false" ht="15" hidden="false" customHeight="false" outlineLevel="0" collapsed="false">
      <c r="I558" s="40"/>
    </row>
    <row r="559" customFormat="false" ht="15" hidden="false" customHeight="false" outlineLevel="0" collapsed="false">
      <c r="I559" s="40"/>
    </row>
    <row r="560" customFormat="false" ht="15" hidden="false" customHeight="false" outlineLevel="0" collapsed="false">
      <c r="I560" s="40"/>
    </row>
    <row r="561" customFormat="false" ht="15" hidden="false" customHeight="false" outlineLevel="0" collapsed="false">
      <c r="I561" s="40"/>
    </row>
    <row r="562" customFormat="false" ht="15" hidden="false" customHeight="false" outlineLevel="0" collapsed="false">
      <c r="I562" s="40"/>
    </row>
    <row r="563" customFormat="false" ht="15" hidden="false" customHeight="false" outlineLevel="0" collapsed="false">
      <c r="I563" s="40"/>
    </row>
    <row r="564" customFormat="false" ht="15" hidden="false" customHeight="false" outlineLevel="0" collapsed="false">
      <c r="I564" s="40"/>
    </row>
    <row r="565" customFormat="false" ht="15" hidden="false" customHeight="false" outlineLevel="0" collapsed="false">
      <c r="I565" s="40"/>
    </row>
    <row r="566" customFormat="false" ht="15" hidden="false" customHeight="false" outlineLevel="0" collapsed="false">
      <c r="I566" s="40"/>
    </row>
    <row r="567" customFormat="false" ht="15" hidden="false" customHeight="false" outlineLevel="0" collapsed="false">
      <c r="I567" s="40"/>
    </row>
    <row r="568" customFormat="false" ht="15" hidden="false" customHeight="false" outlineLevel="0" collapsed="false">
      <c r="I568" s="40"/>
    </row>
    <row r="569" customFormat="false" ht="15" hidden="false" customHeight="false" outlineLevel="0" collapsed="false">
      <c r="I569" s="40"/>
    </row>
    <row r="570" customFormat="false" ht="15" hidden="false" customHeight="false" outlineLevel="0" collapsed="false">
      <c r="I570" s="40"/>
    </row>
    <row r="571" customFormat="false" ht="15" hidden="false" customHeight="false" outlineLevel="0" collapsed="false">
      <c r="I571" s="40"/>
    </row>
    <row r="572" customFormat="false" ht="15" hidden="false" customHeight="false" outlineLevel="0" collapsed="false">
      <c r="I572" s="40"/>
    </row>
    <row r="573" customFormat="false" ht="15" hidden="false" customHeight="false" outlineLevel="0" collapsed="false">
      <c r="I573" s="40"/>
    </row>
    <row r="574" customFormat="false" ht="15" hidden="false" customHeight="false" outlineLevel="0" collapsed="false">
      <c r="I574" s="40"/>
    </row>
    <row r="575" customFormat="false" ht="15" hidden="false" customHeight="false" outlineLevel="0" collapsed="false">
      <c r="I575" s="40"/>
    </row>
    <row r="576" customFormat="false" ht="15" hidden="false" customHeight="false" outlineLevel="0" collapsed="false">
      <c r="I576" s="40"/>
    </row>
    <row r="577" customFormat="false" ht="15" hidden="false" customHeight="false" outlineLevel="0" collapsed="false">
      <c r="I577" s="40"/>
    </row>
    <row r="578" customFormat="false" ht="15" hidden="false" customHeight="false" outlineLevel="0" collapsed="false">
      <c r="I578" s="40"/>
    </row>
    <row r="579" customFormat="false" ht="15" hidden="false" customHeight="false" outlineLevel="0" collapsed="false">
      <c r="I579" s="40"/>
    </row>
    <row r="580" customFormat="false" ht="15" hidden="false" customHeight="false" outlineLevel="0" collapsed="false">
      <c r="I580" s="40"/>
    </row>
    <row r="581" customFormat="false" ht="15" hidden="false" customHeight="false" outlineLevel="0" collapsed="false">
      <c r="I581" s="40"/>
    </row>
    <row r="582" customFormat="false" ht="15" hidden="false" customHeight="false" outlineLevel="0" collapsed="false">
      <c r="I582" s="40"/>
    </row>
    <row r="583" customFormat="false" ht="15" hidden="false" customHeight="false" outlineLevel="0" collapsed="false">
      <c r="I583" s="40"/>
    </row>
    <row r="584" customFormat="false" ht="15" hidden="false" customHeight="false" outlineLevel="0" collapsed="false">
      <c r="I584" s="40"/>
    </row>
    <row r="585" customFormat="false" ht="15" hidden="false" customHeight="false" outlineLevel="0" collapsed="false">
      <c r="I585" s="40"/>
    </row>
    <row r="586" customFormat="false" ht="15" hidden="false" customHeight="false" outlineLevel="0" collapsed="false">
      <c r="I586" s="40"/>
    </row>
    <row r="587" customFormat="false" ht="15" hidden="false" customHeight="false" outlineLevel="0" collapsed="false">
      <c r="I587" s="40"/>
    </row>
    <row r="588" customFormat="false" ht="15" hidden="false" customHeight="false" outlineLevel="0" collapsed="false">
      <c r="I588" s="40"/>
    </row>
    <row r="589" customFormat="false" ht="15" hidden="false" customHeight="false" outlineLevel="0" collapsed="false">
      <c r="I589" s="40"/>
    </row>
    <row r="590" customFormat="false" ht="15" hidden="false" customHeight="false" outlineLevel="0" collapsed="false">
      <c r="I590" s="40"/>
    </row>
    <row r="591" customFormat="false" ht="15" hidden="false" customHeight="false" outlineLevel="0" collapsed="false">
      <c r="I591" s="40"/>
    </row>
    <row r="592" customFormat="false" ht="15" hidden="false" customHeight="false" outlineLevel="0" collapsed="false">
      <c r="I592" s="40"/>
    </row>
    <row r="593" customFormat="false" ht="15" hidden="false" customHeight="false" outlineLevel="0" collapsed="false">
      <c r="I593" s="40"/>
    </row>
    <row r="594" customFormat="false" ht="15" hidden="false" customHeight="false" outlineLevel="0" collapsed="false">
      <c r="I594" s="40"/>
    </row>
    <row r="595" customFormat="false" ht="15" hidden="false" customHeight="false" outlineLevel="0" collapsed="false">
      <c r="I595" s="40"/>
    </row>
    <row r="596" customFormat="false" ht="15" hidden="false" customHeight="false" outlineLevel="0" collapsed="false">
      <c r="I596" s="40"/>
    </row>
    <row r="597" customFormat="false" ht="15" hidden="false" customHeight="false" outlineLevel="0" collapsed="false">
      <c r="I597" s="40"/>
    </row>
    <row r="598" customFormat="false" ht="15" hidden="false" customHeight="false" outlineLevel="0" collapsed="false">
      <c r="I598" s="40"/>
    </row>
    <row r="599" customFormat="false" ht="15" hidden="false" customHeight="false" outlineLevel="0" collapsed="false">
      <c r="I599" s="40"/>
    </row>
    <row r="600" customFormat="false" ht="15" hidden="false" customHeight="false" outlineLevel="0" collapsed="false">
      <c r="I600" s="40"/>
    </row>
    <row r="601" customFormat="false" ht="15" hidden="false" customHeight="false" outlineLevel="0" collapsed="false">
      <c r="I601" s="40"/>
    </row>
    <row r="602" customFormat="false" ht="15" hidden="false" customHeight="false" outlineLevel="0" collapsed="false">
      <c r="I602" s="40"/>
    </row>
    <row r="603" customFormat="false" ht="15" hidden="false" customHeight="false" outlineLevel="0" collapsed="false">
      <c r="I603" s="40"/>
    </row>
    <row r="604" customFormat="false" ht="15" hidden="false" customHeight="false" outlineLevel="0" collapsed="false">
      <c r="I604" s="40"/>
    </row>
    <row r="605" customFormat="false" ht="15" hidden="false" customHeight="false" outlineLevel="0" collapsed="false">
      <c r="I605" s="40"/>
    </row>
    <row r="606" customFormat="false" ht="15" hidden="false" customHeight="false" outlineLevel="0" collapsed="false">
      <c r="I606" s="40"/>
    </row>
    <row r="607" customFormat="false" ht="15" hidden="false" customHeight="false" outlineLevel="0" collapsed="false">
      <c r="I607" s="40"/>
    </row>
    <row r="608" customFormat="false" ht="15" hidden="false" customHeight="false" outlineLevel="0" collapsed="false">
      <c r="I608" s="40"/>
    </row>
    <row r="609" customFormat="false" ht="15" hidden="false" customHeight="false" outlineLevel="0" collapsed="false">
      <c r="I609" s="40"/>
    </row>
    <row r="610" customFormat="false" ht="15" hidden="false" customHeight="false" outlineLevel="0" collapsed="false">
      <c r="I610" s="40"/>
    </row>
    <row r="611" customFormat="false" ht="15" hidden="false" customHeight="false" outlineLevel="0" collapsed="false">
      <c r="I611" s="40"/>
    </row>
    <row r="612" customFormat="false" ht="15" hidden="false" customHeight="false" outlineLevel="0" collapsed="false">
      <c r="I612" s="40"/>
    </row>
    <row r="613" customFormat="false" ht="15" hidden="false" customHeight="false" outlineLevel="0" collapsed="false">
      <c r="I613" s="40"/>
    </row>
    <row r="614" customFormat="false" ht="15" hidden="false" customHeight="false" outlineLevel="0" collapsed="false">
      <c r="I614" s="40"/>
    </row>
    <row r="615" customFormat="false" ht="15" hidden="false" customHeight="false" outlineLevel="0" collapsed="false">
      <c r="I615" s="40"/>
    </row>
    <row r="616" customFormat="false" ht="15" hidden="false" customHeight="false" outlineLevel="0" collapsed="false">
      <c r="I616" s="40"/>
    </row>
    <row r="617" customFormat="false" ht="15" hidden="false" customHeight="false" outlineLevel="0" collapsed="false">
      <c r="I617" s="40"/>
    </row>
    <row r="618" customFormat="false" ht="15" hidden="false" customHeight="false" outlineLevel="0" collapsed="false">
      <c r="I618" s="40"/>
    </row>
    <row r="619" customFormat="false" ht="15" hidden="false" customHeight="false" outlineLevel="0" collapsed="false">
      <c r="I619" s="40"/>
    </row>
    <row r="620" customFormat="false" ht="15" hidden="false" customHeight="false" outlineLevel="0" collapsed="false">
      <c r="I620" s="40"/>
    </row>
    <row r="621" customFormat="false" ht="15" hidden="false" customHeight="false" outlineLevel="0" collapsed="false">
      <c r="I621" s="40"/>
    </row>
    <row r="622" customFormat="false" ht="15" hidden="false" customHeight="false" outlineLevel="0" collapsed="false">
      <c r="I622" s="40"/>
    </row>
    <row r="623" customFormat="false" ht="15" hidden="false" customHeight="false" outlineLevel="0" collapsed="false">
      <c r="I623" s="40"/>
    </row>
    <row r="624" customFormat="false" ht="15" hidden="false" customHeight="false" outlineLevel="0" collapsed="false">
      <c r="I624" s="40"/>
    </row>
    <row r="625" customFormat="false" ht="15" hidden="false" customHeight="false" outlineLevel="0" collapsed="false">
      <c r="I625" s="40"/>
    </row>
    <row r="626" customFormat="false" ht="15" hidden="false" customHeight="false" outlineLevel="0" collapsed="false">
      <c r="I626" s="40"/>
    </row>
    <row r="627" customFormat="false" ht="15" hidden="false" customHeight="false" outlineLevel="0" collapsed="false">
      <c r="I627" s="40"/>
    </row>
    <row r="628" customFormat="false" ht="15" hidden="false" customHeight="false" outlineLevel="0" collapsed="false">
      <c r="I628" s="40"/>
    </row>
    <row r="629" customFormat="false" ht="15" hidden="false" customHeight="false" outlineLevel="0" collapsed="false">
      <c r="I629" s="40"/>
    </row>
    <row r="630" customFormat="false" ht="15" hidden="false" customHeight="false" outlineLevel="0" collapsed="false">
      <c r="I630" s="40"/>
    </row>
    <row r="631" customFormat="false" ht="15" hidden="false" customHeight="false" outlineLevel="0" collapsed="false">
      <c r="I631" s="40"/>
    </row>
    <row r="632" customFormat="false" ht="15" hidden="false" customHeight="false" outlineLevel="0" collapsed="false">
      <c r="I632" s="40"/>
    </row>
    <row r="633" customFormat="false" ht="15" hidden="false" customHeight="false" outlineLevel="0" collapsed="false">
      <c r="I633" s="40"/>
    </row>
    <row r="634" customFormat="false" ht="15" hidden="false" customHeight="false" outlineLevel="0" collapsed="false">
      <c r="I634" s="40"/>
    </row>
    <row r="635" customFormat="false" ht="15" hidden="false" customHeight="false" outlineLevel="0" collapsed="false">
      <c r="I635" s="40"/>
    </row>
    <row r="636" customFormat="false" ht="15" hidden="false" customHeight="false" outlineLevel="0" collapsed="false">
      <c r="I636" s="40"/>
    </row>
    <row r="637" customFormat="false" ht="15" hidden="false" customHeight="false" outlineLevel="0" collapsed="false">
      <c r="I637" s="40"/>
    </row>
    <row r="638" customFormat="false" ht="15" hidden="false" customHeight="false" outlineLevel="0" collapsed="false">
      <c r="I638" s="40"/>
    </row>
    <row r="639" customFormat="false" ht="15" hidden="false" customHeight="false" outlineLevel="0" collapsed="false">
      <c r="I639" s="40"/>
    </row>
    <row r="640" customFormat="false" ht="15" hidden="false" customHeight="false" outlineLevel="0" collapsed="false">
      <c r="I640" s="40"/>
    </row>
    <row r="641" customFormat="false" ht="15" hidden="false" customHeight="false" outlineLevel="0" collapsed="false">
      <c r="I641" s="40"/>
    </row>
    <row r="642" customFormat="false" ht="15" hidden="false" customHeight="false" outlineLevel="0" collapsed="false">
      <c r="I642" s="40"/>
    </row>
    <row r="643" customFormat="false" ht="15" hidden="false" customHeight="false" outlineLevel="0" collapsed="false">
      <c r="I643" s="40"/>
    </row>
    <row r="644" customFormat="false" ht="15" hidden="false" customHeight="false" outlineLevel="0" collapsed="false">
      <c r="I644" s="40"/>
    </row>
    <row r="645" customFormat="false" ht="15" hidden="false" customHeight="false" outlineLevel="0" collapsed="false">
      <c r="I645" s="40"/>
    </row>
    <row r="646" customFormat="false" ht="15" hidden="false" customHeight="false" outlineLevel="0" collapsed="false">
      <c r="I646" s="40"/>
    </row>
    <row r="647" customFormat="false" ht="15" hidden="false" customHeight="false" outlineLevel="0" collapsed="false">
      <c r="I647" s="40"/>
    </row>
    <row r="648" customFormat="false" ht="15" hidden="false" customHeight="false" outlineLevel="0" collapsed="false">
      <c r="I648" s="40"/>
    </row>
    <row r="649" customFormat="false" ht="15" hidden="false" customHeight="false" outlineLevel="0" collapsed="false">
      <c r="I649" s="40"/>
    </row>
    <row r="650" customFormat="false" ht="15" hidden="false" customHeight="false" outlineLevel="0" collapsed="false">
      <c r="I650" s="40"/>
    </row>
    <row r="651" customFormat="false" ht="15" hidden="false" customHeight="false" outlineLevel="0" collapsed="false">
      <c r="I651" s="40"/>
    </row>
    <row r="652" customFormat="false" ht="15" hidden="false" customHeight="false" outlineLevel="0" collapsed="false">
      <c r="I652" s="40"/>
    </row>
    <row r="653" customFormat="false" ht="15" hidden="false" customHeight="false" outlineLevel="0" collapsed="false">
      <c r="I653" s="40"/>
    </row>
    <row r="654" customFormat="false" ht="15" hidden="false" customHeight="false" outlineLevel="0" collapsed="false">
      <c r="I654" s="40"/>
    </row>
    <row r="655" customFormat="false" ht="15" hidden="false" customHeight="false" outlineLevel="0" collapsed="false">
      <c r="I655" s="40"/>
    </row>
    <row r="656" customFormat="false" ht="15" hidden="false" customHeight="false" outlineLevel="0" collapsed="false">
      <c r="I656" s="40"/>
    </row>
    <row r="657" customFormat="false" ht="15" hidden="false" customHeight="false" outlineLevel="0" collapsed="false">
      <c r="I657" s="40"/>
    </row>
    <row r="658" customFormat="false" ht="15" hidden="false" customHeight="false" outlineLevel="0" collapsed="false">
      <c r="I658" s="40"/>
    </row>
    <row r="659" customFormat="false" ht="15" hidden="false" customHeight="false" outlineLevel="0" collapsed="false">
      <c r="I659" s="40"/>
    </row>
    <row r="660" customFormat="false" ht="15" hidden="false" customHeight="false" outlineLevel="0" collapsed="false">
      <c r="I660" s="40"/>
    </row>
    <row r="661" customFormat="false" ht="15" hidden="false" customHeight="false" outlineLevel="0" collapsed="false">
      <c r="I661" s="40"/>
    </row>
    <row r="662" customFormat="false" ht="15" hidden="false" customHeight="false" outlineLevel="0" collapsed="false">
      <c r="I662" s="40"/>
    </row>
    <row r="663" customFormat="false" ht="15" hidden="false" customHeight="false" outlineLevel="0" collapsed="false">
      <c r="I663" s="40"/>
    </row>
    <row r="664" customFormat="false" ht="15" hidden="false" customHeight="false" outlineLevel="0" collapsed="false">
      <c r="I664" s="40"/>
    </row>
    <row r="665" customFormat="false" ht="15" hidden="false" customHeight="false" outlineLevel="0" collapsed="false">
      <c r="I665" s="40"/>
    </row>
    <row r="666" customFormat="false" ht="15" hidden="false" customHeight="false" outlineLevel="0" collapsed="false">
      <c r="I666" s="40"/>
    </row>
    <row r="667" customFormat="false" ht="15" hidden="false" customHeight="false" outlineLevel="0" collapsed="false">
      <c r="I667" s="40"/>
    </row>
    <row r="668" customFormat="false" ht="15" hidden="false" customHeight="false" outlineLevel="0" collapsed="false">
      <c r="I668" s="40"/>
    </row>
    <row r="669" customFormat="false" ht="15" hidden="false" customHeight="false" outlineLevel="0" collapsed="false">
      <c r="I669" s="40"/>
    </row>
    <row r="670" customFormat="false" ht="15" hidden="false" customHeight="false" outlineLevel="0" collapsed="false">
      <c r="I670" s="40"/>
    </row>
    <row r="671" customFormat="false" ht="15" hidden="false" customHeight="false" outlineLevel="0" collapsed="false">
      <c r="I671" s="40"/>
    </row>
    <row r="672" customFormat="false" ht="15" hidden="false" customHeight="false" outlineLevel="0" collapsed="false">
      <c r="I672" s="40"/>
    </row>
    <row r="673" customFormat="false" ht="15" hidden="false" customHeight="false" outlineLevel="0" collapsed="false">
      <c r="I673" s="40"/>
    </row>
    <row r="674" customFormat="false" ht="15" hidden="false" customHeight="false" outlineLevel="0" collapsed="false">
      <c r="I674" s="40"/>
    </row>
    <row r="675" customFormat="false" ht="15" hidden="false" customHeight="false" outlineLevel="0" collapsed="false">
      <c r="I675" s="40"/>
    </row>
    <row r="676" customFormat="false" ht="15" hidden="false" customHeight="false" outlineLevel="0" collapsed="false">
      <c r="I676" s="40"/>
    </row>
    <row r="677" customFormat="false" ht="15" hidden="false" customHeight="false" outlineLevel="0" collapsed="false">
      <c r="I677" s="40"/>
    </row>
    <row r="678" customFormat="false" ht="15" hidden="false" customHeight="false" outlineLevel="0" collapsed="false">
      <c r="I678" s="40"/>
    </row>
    <row r="679" customFormat="false" ht="15" hidden="false" customHeight="false" outlineLevel="0" collapsed="false">
      <c r="I679" s="40"/>
    </row>
    <row r="680" customFormat="false" ht="15" hidden="false" customHeight="false" outlineLevel="0" collapsed="false">
      <c r="I680" s="40"/>
    </row>
    <row r="681" customFormat="false" ht="15" hidden="false" customHeight="false" outlineLevel="0" collapsed="false">
      <c r="I681" s="40"/>
    </row>
    <row r="682" customFormat="false" ht="15" hidden="false" customHeight="false" outlineLevel="0" collapsed="false">
      <c r="I682" s="40"/>
    </row>
    <row r="683" customFormat="false" ht="15" hidden="false" customHeight="false" outlineLevel="0" collapsed="false">
      <c r="I683" s="40"/>
    </row>
    <row r="684" customFormat="false" ht="15" hidden="false" customHeight="false" outlineLevel="0" collapsed="false">
      <c r="I684" s="40"/>
    </row>
    <row r="685" customFormat="false" ht="15" hidden="false" customHeight="false" outlineLevel="0" collapsed="false">
      <c r="I685" s="40"/>
    </row>
    <row r="686" customFormat="false" ht="15" hidden="false" customHeight="false" outlineLevel="0" collapsed="false">
      <c r="I686" s="40"/>
    </row>
    <row r="687" customFormat="false" ht="15" hidden="false" customHeight="false" outlineLevel="0" collapsed="false">
      <c r="I687" s="40"/>
    </row>
    <row r="688" customFormat="false" ht="15" hidden="false" customHeight="false" outlineLevel="0" collapsed="false">
      <c r="I688" s="40"/>
    </row>
    <row r="689" customFormat="false" ht="15" hidden="false" customHeight="false" outlineLevel="0" collapsed="false">
      <c r="I689" s="40"/>
    </row>
    <row r="690" customFormat="false" ht="15" hidden="false" customHeight="false" outlineLevel="0" collapsed="false">
      <c r="I690" s="40"/>
    </row>
    <row r="691" customFormat="false" ht="15" hidden="false" customHeight="false" outlineLevel="0" collapsed="false">
      <c r="I691" s="40"/>
    </row>
    <row r="692" customFormat="false" ht="15" hidden="false" customHeight="false" outlineLevel="0" collapsed="false">
      <c r="I692" s="40"/>
    </row>
    <row r="693" customFormat="false" ht="15" hidden="false" customHeight="false" outlineLevel="0" collapsed="false">
      <c r="I693" s="40"/>
    </row>
    <row r="694" customFormat="false" ht="15" hidden="false" customHeight="false" outlineLevel="0" collapsed="false">
      <c r="I694" s="40"/>
    </row>
    <row r="695" customFormat="false" ht="15" hidden="false" customHeight="false" outlineLevel="0" collapsed="false">
      <c r="I695" s="40"/>
    </row>
    <row r="696" customFormat="false" ht="15" hidden="false" customHeight="false" outlineLevel="0" collapsed="false">
      <c r="I696" s="40"/>
    </row>
    <row r="697" customFormat="false" ht="15" hidden="false" customHeight="false" outlineLevel="0" collapsed="false">
      <c r="I697" s="40"/>
    </row>
    <row r="698" customFormat="false" ht="15" hidden="false" customHeight="false" outlineLevel="0" collapsed="false">
      <c r="I698" s="40"/>
    </row>
    <row r="699" customFormat="false" ht="15" hidden="false" customHeight="false" outlineLevel="0" collapsed="false">
      <c r="I699" s="40"/>
    </row>
    <row r="700" customFormat="false" ht="15" hidden="false" customHeight="false" outlineLevel="0" collapsed="false">
      <c r="I700" s="40"/>
    </row>
    <row r="701" customFormat="false" ht="15" hidden="false" customHeight="false" outlineLevel="0" collapsed="false">
      <c r="I701" s="40"/>
    </row>
    <row r="702" customFormat="false" ht="15" hidden="false" customHeight="false" outlineLevel="0" collapsed="false">
      <c r="I702" s="40"/>
    </row>
    <row r="703" customFormat="false" ht="15" hidden="false" customHeight="false" outlineLevel="0" collapsed="false">
      <c r="I703" s="40"/>
    </row>
    <row r="704" customFormat="false" ht="15" hidden="false" customHeight="false" outlineLevel="0" collapsed="false">
      <c r="I704" s="40"/>
    </row>
    <row r="705" customFormat="false" ht="15" hidden="false" customHeight="false" outlineLevel="0" collapsed="false">
      <c r="I705" s="40"/>
    </row>
    <row r="706" customFormat="false" ht="15" hidden="false" customHeight="false" outlineLevel="0" collapsed="false">
      <c r="I706" s="40"/>
    </row>
    <row r="707" customFormat="false" ht="15" hidden="false" customHeight="false" outlineLevel="0" collapsed="false">
      <c r="I707" s="40"/>
    </row>
    <row r="708" customFormat="false" ht="15" hidden="false" customHeight="false" outlineLevel="0" collapsed="false">
      <c r="I708" s="40"/>
    </row>
    <row r="709" customFormat="false" ht="15" hidden="false" customHeight="false" outlineLevel="0" collapsed="false">
      <c r="I709" s="40"/>
    </row>
    <row r="710" customFormat="false" ht="15" hidden="false" customHeight="false" outlineLevel="0" collapsed="false">
      <c r="I710" s="40"/>
    </row>
    <row r="711" customFormat="false" ht="15" hidden="false" customHeight="false" outlineLevel="0" collapsed="false">
      <c r="I711" s="40"/>
    </row>
    <row r="712" customFormat="false" ht="15" hidden="false" customHeight="false" outlineLevel="0" collapsed="false">
      <c r="I712" s="40"/>
    </row>
    <row r="713" customFormat="false" ht="15" hidden="false" customHeight="false" outlineLevel="0" collapsed="false">
      <c r="I713" s="40"/>
    </row>
    <row r="714" customFormat="false" ht="15" hidden="false" customHeight="false" outlineLevel="0" collapsed="false">
      <c r="I714" s="40"/>
    </row>
    <row r="715" customFormat="false" ht="15" hidden="false" customHeight="false" outlineLevel="0" collapsed="false">
      <c r="I715" s="40"/>
    </row>
    <row r="716" customFormat="false" ht="15" hidden="false" customHeight="false" outlineLevel="0" collapsed="false">
      <c r="I716" s="40"/>
    </row>
    <row r="717" customFormat="false" ht="15" hidden="false" customHeight="false" outlineLevel="0" collapsed="false">
      <c r="I717" s="40"/>
    </row>
    <row r="718" customFormat="false" ht="15" hidden="false" customHeight="false" outlineLevel="0" collapsed="false">
      <c r="I718" s="40"/>
    </row>
    <row r="719" customFormat="false" ht="15" hidden="false" customHeight="false" outlineLevel="0" collapsed="false">
      <c r="I719" s="40"/>
    </row>
    <row r="720" customFormat="false" ht="15" hidden="false" customHeight="false" outlineLevel="0" collapsed="false">
      <c r="I720" s="40"/>
    </row>
    <row r="721" customFormat="false" ht="15" hidden="false" customHeight="false" outlineLevel="0" collapsed="false">
      <c r="I721" s="40"/>
    </row>
    <row r="722" customFormat="false" ht="15" hidden="false" customHeight="false" outlineLevel="0" collapsed="false">
      <c r="I722" s="40"/>
    </row>
    <row r="723" customFormat="false" ht="15" hidden="false" customHeight="false" outlineLevel="0" collapsed="false">
      <c r="I723" s="40"/>
    </row>
    <row r="724" customFormat="false" ht="15" hidden="false" customHeight="false" outlineLevel="0" collapsed="false">
      <c r="I724" s="40"/>
    </row>
    <row r="725" customFormat="false" ht="15" hidden="false" customHeight="false" outlineLevel="0" collapsed="false">
      <c r="I725" s="40"/>
    </row>
    <row r="726" customFormat="false" ht="15" hidden="false" customHeight="false" outlineLevel="0" collapsed="false">
      <c r="I726" s="40"/>
    </row>
    <row r="727" customFormat="false" ht="15" hidden="false" customHeight="false" outlineLevel="0" collapsed="false">
      <c r="I727" s="40"/>
    </row>
    <row r="728" customFormat="false" ht="15" hidden="false" customHeight="false" outlineLevel="0" collapsed="false">
      <c r="I728" s="40"/>
    </row>
    <row r="729" customFormat="false" ht="15" hidden="false" customHeight="false" outlineLevel="0" collapsed="false">
      <c r="I729" s="40"/>
    </row>
    <row r="730" customFormat="false" ht="15" hidden="false" customHeight="false" outlineLevel="0" collapsed="false">
      <c r="I730" s="40"/>
    </row>
    <row r="731" customFormat="false" ht="15" hidden="false" customHeight="false" outlineLevel="0" collapsed="false">
      <c r="I731" s="40"/>
    </row>
    <row r="732" customFormat="false" ht="15" hidden="false" customHeight="false" outlineLevel="0" collapsed="false">
      <c r="I732" s="40"/>
    </row>
    <row r="733" customFormat="false" ht="15" hidden="false" customHeight="false" outlineLevel="0" collapsed="false">
      <c r="I733" s="40"/>
    </row>
    <row r="734" customFormat="false" ht="15" hidden="false" customHeight="false" outlineLevel="0" collapsed="false">
      <c r="I734" s="40"/>
    </row>
    <row r="735" customFormat="false" ht="15" hidden="false" customHeight="false" outlineLevel="0" collapsed="false">
      <c r="I735" s="40"/>
    </row>
    <row r="736" customFormat="false" ht="15" hidden="false" customHeight="false" outlineLevel="0" collapsed="false">
      <c r="I736" s="40"/>
    </row>
    <row r="737" customFormat="false" ht="15" hidden="false" customHeight="false" outlineLevel="0" collapsed="false">
      <c r="I737" s="40"/>
    </row>
    <row r="738" customFormat="false" ht="15" hidden="false" customHeight="false" outlineLevel="0" collapsed="false">
      <c r="I738" s="40"/>
    </row>
    <row r="739" customFormat="false" ht="15" hidden="false" customHeight="false" outlineLevel="0" collapsed="false">
      <c r="I739" s="40"/>
    </row>
    <row r="740" customFormat="false" ht="15" hidden="false" customHeight="false" outlineLevel="0" collapsed="false">
      <c r="I740" s="40"/>
    </row>
    <row r="741" customFormat="false" ht="15" hidden="false" customHeight="false" outlineLevel="0" collapsed="false">
      <c r="I741" s="40"/>
    </row>
    <row r="742" customFormat="false" ht="15" hidden="false" customHeight="false" outlineLevel="0" collapsed="false">
      <c r="I742" s="40"/>
    </row>
    <row r="743" customFormat="false" ht="15" hidden="false" customHeight="false" outlineLevel="0" collapsed="false">
      <c r="I743" s="40"/>
    </row>
    <row r="744" customFormat="false" ht="15" hidden="false" customHeight="false" outlineLevel="0" collapsed="false">
      <c r="I744" s="40"/>
    </row>
    <row r="745" customFormat="false" ht="15" hidden="false" customHeight="false" outlineLevel="0" collapsed="false">
      <c r="I745" s="40"/>
    </row>
    <row r="746" customFormat="false" ht="15" hidden="false" customHeight="false" outlineLevel="0" collapsed="false">
      <c r="I746" s="40"/>
    </row>
    <row r="747" customFormat="false" ht="15" hidden="false" customHeight="false" outlineLevel="0" collapsed="false">
      <c r="I747" s="40"/>
    </row>
    <row r="748" customFormat="false" ht="15" hidden="false" customHeight="false" outlineLevel="0" collapsed="false">
      <c r="I748" s="40"/>
    </row>
    <row r="749" customFormat="false" ht="15" hidden="false" customHeight="false" outlineLevel="0" collapsed="false">
      <c r="I749" s="40"/>
    </row>
    <row r="750" customFormat="false" ht="15" hidden="false" customHeight="false" outlineLevel="0" collapsed="false">
      <c r="I750" s="40"/>
    </row>
    <row r="751" customFormat="false" ht="15" hidden="false" customHeight="false" outlineLevel="0" collapsed="false">
      <c r="I751" s="40"/>
    </row>
    <row r="752" customFormat="false" ht="15" hidden="false" customHeight="false" outlineLevel="0" collapsed="false">
      <c r="I752" s="40"/>
    </row>
    <row r="753" customFormat="false" ht="15" hidden="false" customHeight="false" outlineLevel="0" collapsed="false">
      <c r="I753" s="40"/>
    </row>
    <row r="754" customFormat="false" ht="15" hidden="false" customHeight="false" outlineLevel="0" collapsed="false">
      <c r="I754" s="40"/>
    </row>
    <row r="755" customFormat="false" ht="15" hidden="false" customHeight="false" outlineLevel="0" collapsed="false">
      <c r="I755" s="40"/>
    </row>
    <row r="756" customFormat="false" ht="15" hidden="false" customHeight="false" outlineLevel="0" collapsed="false">
      <c r="I756" s="40"/>
    </row>
    <row r="757" customFormat="false" ht="15" hidden="false" customHeight="false" outlineLevel="0" collapsed="false">
      <c r="I757" s="40"/>
    </row>
    <row r="758" customFormat="false" ht="15" hidden="false" customHeight="false" outlineLevel="0" collapsed="false">
      <c r="I758" s="40"/>
    </row>
    <row r="759" customFormat="false" ht="15" hidden="false" customHeight="false" outlineLevel="0" collapsed="false">
      <c r="I759" s="40"/>
    </row>
    <row r="760" customFormat="false" ht="15" hidden="false" customHeight="false" outlineLevel="0" collapsed="false">
      <c r="I760" s="40"/>
    </row>
    <row r="761" customFormat="false" ht="15" hidden="false" customHeight="false" outlineLevel="0" collapsed="false">
      <c r="I761" s="40"/>
    </row>
    <row r="762" customFormat="false" ht="15" hidden="false" customHeight="false" outlineLevel="0" collapsed="false">
      <c r="I762" s="40"/>
    </row>
    <row r="763" customFormat="false" ht="15" hidden="false" customHeight="false" outlineLevel="0" collapsed="false">
      <c r="I763" s="40"/>
    </row>
    <row r="764" customFormat="false" ht="15" hidden="false" customHeight="false" outlineLevel="0" collapsed="false">
      <c r="I764" s="40"/>
    </row>
    <row r="765" customFormat="false" ht="15" hidden="false" customHeight="false" outlineLevel="0" collapsed="false">
      <c r="I765" s="40"/>
    </row>
    <row r="766" customFormat="false" ht="15" hidden="false" customHeight="false" outlineLevel="0" collapsed="false">
      <c r="I766" s="40"/>
    </row>
    <row r="767" customFormat="false" ht="15" hidden="false" customHeight="false" outlineLevel="0" collapsed="false">
      <c r="I767" s="40"/>
    </row>
    <row r="768" customFormat="false" ht="15" hidden="false" customHeight="false" outlineLevel="0" collapsed="false">
      <c r="I768" s="40"/>
    </row>
    <row r="769" customFormat="false" ht="15" hidden="false" customHeight="false" outlineLevel="0" collapsed="false">
      <c r="I769" s="40"/>
    </row>
    <row r="770" customFormat="false" ht="15" hidden="false" customHeight="false" outlineLevel="0" collapsed="false">
      <c r="I770" s="40"/>
    </row>
    <row r="771" customFormat="false" ht="15" hidden="false" customHeight="false" outlineLevel="0" collapsed="false">
      <c r="I771" s="40"/>
    </row>
    <row r="772" customFormat="false" ht="15" hidden="false" customHeight="false" outlineLevel="0" collapsed="false">
      <c r="I772" s="40"/>
    </row>
    <row r="773" customFormat="false" ht="15" hidden="false" customHeight="false" outlineLevel="0" collapsed="false">
      <c r="I773" s="40"/>
    </row>
    <row r="774" customFormat="false" ht="15" hidden="false" customHeight="false" outlineLevel="0" collapsed="false">
      <c r="I774" s="40"/>
    </row>
    <row r="775" customFormat="false" ht="15" hidden="false" customHeight="false" outlineLevel="0" collapsed="false">
      <c r="I775" s="40"/>
    </row>
    <row r="776" customFormat="false" ht="15" hidden="false" customHeight="false" outlineLevel="0" collapsed="false">
      <c r="I776" s="40"/>
    </row>
    <row r="777" customFormat="false" ht="15" hidden="false" customHeight="false" outlineLevel="0" collapsed="false">
      <c r="I777" s="40"/>
    </row>
    <row r="778" customFormat="false" ht="15" hidden="false" customHeight="false" outlineLevel="0" collapsed="false">
      <c r="I778" s="40"/>
    </row>
    <row r="779" customFormat="false" ht="15" hidden="false" customHeight="false" outlineLevel="0" collapsed="false">
      <c r="I779" s="40"/>
    </row>
    <row r="780" customFormat="false" ht="15" hidden="false" customHeight="false" outlineLevel="0" collapsed="false">
      <c r="I780" s="40"/>
    </row>
    <row r="781" customFormat="false" ht="15" hidden="false" customHeight="false" outlineLevel="0" collapsed="false">
      <c r="I781" s="40"/>
    </row>
    <row r="782" customFormat="false" ht="15" hidden="false" customHeight="false" outlineLevel="0" collapsed="false">
      <c r="I782" s="40"/>
    </row>
    <row r="783" customFormat="false" ht="15" hidden="false" customHeight="false" outlineLevel="0" collapsed="false">
      <c r="I783" s="40"/>
    </row>
    <row r="784" customFormat="false" ht="15" hidden="false" customHeight="false" outlineLevel="0" collapsed="false">
      <c r="I784" s="40"/>
    </row>
    <row r="785" customFormat="false" ht="15" hidden="false" customHeight="false" outlineLevel="0" collapsed="false">
      <c r="I785" s="40"/>
    </row>
    <row r="786" customFormat="false" ht="15" hidden="false" customHeight="false" outlineLevel="0" collapsed="false">
      <c r="I786" s="40"/>
    </row>
    <row r="787" customFormat="false" ht="15" hidden="false" customHeight="false" outlineLevel="0" collapsed="false">
      <c r="I787" s="40"/>
    </row>
    <row r="788" customFormat="false" ht="15" hidden="false" customHeight="false" outlineLevel="0" collapsed="false">
      <c r="I788" s="40"/>
    </row>
    <row r="789" customFormat="false" ht="15" hidden="false" customHeight="false" outlineLevel="0" collapsed="false">
      <c r="I789" s="40"/>
    </row>
    <row r="790" customFormat="false" ht="15" hidden="false" customHeight="false" outlineLevel="0" collapsed="false">
      <c r="I790" s="40"/>
    </row>
    <row r="791" customFormat="false" ht="15" hidden="false" customHeight="false" outlineLevel="0" collapsed="false">
      <c r="I791" s="40"/>
    </row>
    <row r="792" customFormat="false" ht="15" hidden="false" customHeight="false" outlineLevel="0" collapsed="false">
      <c r="I792" s="40"/>
    </row>
    <row r="793" customFormat="false" ht="15" hidden="false" customHeight="false" outlineLevel="0" collapsed="false">
      <c r="I793" s="40"/>
    </row>
    <row r="794" customFormat="false" ht="15" hidden="false" customHeight="false" outlineLevel="0" collapsed="false">
      <c r="I794" s="40"/>
    </row>
    <row r="795" customFormat="false" ht="15" hidden="false" customHeight="false" outlineLevel="0" collapsed="false">
      <c r="I795" s="40"/>
    </row>
    <row r="796" customFormat="false" ht="15" hidden="false" customHeight="false" outlineLevel="0" collapsed="false">
      <c r="I796" s="40"/>
    </row>
    <row r="797" customFormat="false" ht="15" hidden="false" customHeight="false" outlineLevel="0" collapsed="false">
      <c r="I797" s="40"/>
    </row>
    <row r="798" customFormat="false" ht="15" hidden="false" customHeight="false" outlineLevel="0" collapsed="false">
      <c r="I798" s="40"/>
    </row>
    <row r="799" customFormat="false" ht="15" hidden="false" customHeight="false" outlineLevel="0" collapsed="false">
      <c r="I799" s="40"/>
    </row>
    <row r="800" customFormat="false" ht="15" hidden="false" customHeight="false" outlineLevel="0" collapsed="false">
      <c r="I800" s="40"/>
    </row>
    <row r="801" customFormat="false" ht="15" hidden="false" customHeight="false" outlineLevel="0" collapsed="false">
      <c r="I801" s="40"/>
    </row>
    <row r="802" customFormat="false" ht="15" hidden="false" customHeight="false" outlineLevel="0" collapsed="false">
      <c r="I802" s="40"/>
    </row>
    <row r="803" customFormat="false" ht="15" hidden="false" customHeight="false" outlineLevel="0" collapsed="false">
      <c r="I803" s="40"/>
    </row>
    <row r="804" customFormat="false" ht="15" hidden="false" customHeight="false" outlineLevel="0" collapsed="false">
      <c r="I804" s="40"/>
    </row>
    <row r="805" customFormat="false" ht="15" hidden="false" customHeight="false" outlineLevel="0" collapsed="false">
      <c r="I805" s="40"/>
    </row>
    <row r="806" customFormat="false" ht="15" hidden="false" customHeight="false" outlineLevel="0" collapsed="false">
      <c r="I806" s="40"/>
    </row>
    <row r="807" customFormat="false" ht="15" hidden="false" customHeight="false" outlineLevel="0" collapsed="false">
      <c r="I807" s="40"/>
    </row>
    <row r="808" customFormat="false" ht="15" hidden="false" customHeight="false" outlineLevel="0" collapsed="false">
      <c r="I808" s="40"/>
    </row>
    <row r="809" customFormat="false" ht="15" hidden="false" customHeight="false" outlineLevel="0" collapsed="false">
      <c r="I809" s="40"/>
    </row>
    <row r="810" customFormat="false" ht="15" hidden="false" customHeight="false" outlineLevel="0" collapsed="false">
      <c r="I810" s="40"/>
    </row>
    <row r="811" customFormat="false" ht="15" hidden="false" customHeight="false" outlineLevel="0" collapsed="false">
      <c r="I811" s="40"/>
    </row>
    <row r="812" customFormat="false" ht="15" hidden="false" customHeight="false" outlineLevel="0" collapsed="false">
      <c r="I812" s="40"/>
    </row>
    <row r="813" customFormat="false" ht="15" hidden="false" customHeight="false" outlineLevel="0" collapsed="false">
      <c r="I813" s="40"/>
    </row>
    <row r="814" customFormat="false" ht="15" hidden="false" customHeight="false" outlineLevel="0" collapsed="false">
      <c r="I814" s="40"/>
    </row>
    <row r="815" customFormat="false" ht="15" hidden="false" customHeight="false" outlineLevel="0" collapsed="false">
      <c r="I815" s="40"/>
    </row>
    <row r="816" customFormat="false" ht="15" hidden="false" customHeight="false" outlineLevel="0" collapsed="false">
      <c r="I816" s="40"/>
    </row>
    <row r="817" customFormat="false" ht="15" hidden="false" customHeight="false" outlineLevel="0" collapsed="false">
      <c r="I817" s="40"/>
    </row>
    <row r="818" customFormat="false" ht="15" hidden="false" customHeight="false" outlineLevel="0" collapsed="false">
      <c r="I818" s="40"/>
    </row>
    <row r="819" customFormat="false" ht="15" hidden="false" customHeight="false" outlineLevel="0" collapsed="false">
      <c r="I819" s="40"/>
    </row>
    <row r="820" customFormat="false" ht="15" hidden="false" customHeight="false" outlineLevel="0" collapsed="false">
      <c r="I820" s="40"/>
    </row>
    <row r="821" customFormat="false" ht="15" hidden="false" customHeight="false" outlineLevel="0" collapsed="false">
      <c r="I821" s="40"/>
    </row>
    <row r="822" customFormat="false" ht="15" hidden="false" customHeight="false" outlineLevel="0" collapsed="false">
      <c r="I822" s="40"/>
    </row>
    <row r="823" customFormat="false" ht="15" hidden="false" customHeight="false" outlineLevel="0" collapsed="false">
      <c r="I823" s="40"/>
    </row>
    <row r="824" customFormat="false" ht="15" hidden="false" customHeight="false" outlineLevel="0" collapsed="false">
      <c r="I824" s="40"/>
    </row>
    <row r="825" customFormat="false" ht="15" hidden="false" customHeight="false" outlineLevel="0" collapsed="false">
      <c r="I825" s="40"/>
    </row>
    <row r="826" customFormat="false" ht="15" hidden="false" customHeight="false" outlineLevel="0" collapsed="false">
      <c r="I826" s="40"/>
    </row>
    <row r="827" customFormat="false" ht="15" hidden="false" customHeight="false" outlineLevel="0" collapsed="false">
      <c r="I827" s="40"/>
    </row>
    <row r="828" customFormat="false" ht="15" hidden="false" customHeight="false" outlineLevel="0" collapsed="false">
      <c r="I828" s="40"/>
    </row>
    <row r="829" customFormat="false" ht="15" hidden="false" customHeight="false" outlineLevel="0" collapsed="false">
      <c r="I829" s="40"/>
    </row>
    <row r="830" customFormat="false" ht="15" hidden="false" customHeight="false" outlineLevel="0" collapsed="false">
      <c r="I830" s="40"/>
    </row>
    <row r="831" customFormat="false" ht="15" hidden="false" customHeight="false" outlineLevel="0" collapsed="false">
      <c r="I831" s="40"/>
    </row>
    <row r="832" customFormat="false" ht="15" hidden="false" customHeight="false" outlineLevel="0" collapsed="false">
      <c r="I832" s="40"/>
    </row>
    <row r="833" customFormat="false" ht="15" hidden="false" customHeight="false" outlineLevel="0" collapsed="false">
      <c r="I833" s="40"/>
    </row>
    <row r="834" customFormat="false" ht="15" hidden="false" customHeight="false" outlineLevel="0" collapsed="false">
      <c r="I834" s="40"/>
    </row>
    <row r="835" customFormat="false" ht="15" hidden="false" customHeight="false" outlineLevel="0" collapsed="false">
      <c r="I835" s="40"/>
    </row>
    <row r="836" customFormat="false" ht="15" hidden="false" customHeight="false" outlineLevel="0" collapsed="false">
      <c r="I836" s="40"/>
    </row>
    <row r="837" customFormat="false" ht="15" hidden="false" customHeight="false" outlineLevel="0" collapsed="false">
      <c r="I837" s="40"/>
    </row>
    <row r="838" customFormat="false" ht="15" hidden="false" customHeight="false" outlineLevel="0" collapsed="false">
      <c r="I838" s="40"/>
    </row>
    <row r="839" customFormat="false" ht="15" hidden="false" customHeight="false" outlineLevel="0" collapsed="false">
      <c r="I839" s="40"/>
    </row>
    <row r="840" customFormat="false" ht="15" hidden="false" customHeight="false" outlineLevel="0" collapsed="false">
      <c r="I840" s="40"/>
    </row>
    <row r="841" customFormat="false" ht="15" hidden="false" customHeight="false" outlineLevel="0" collapsed="false">
      <c r="I841" s="40"/>
    </row>
    <row r="842" customFormat="false" ht="15" hidden="false" customHeight="false" outlineLevel="0" collapsed="false">
      <c r="I842" s="40"/>
    </row>
    <row r="843" customFormat="false" ht="15" hidden="false" customHeight="false" outlineLevel="0" collapsed="false">
      <c r="I843" s="40"/>
    </row>
    <row r="844" customFormat="false" ht="15" hidden="false" customHeight="false" outlineLevel="0" collapsed="false">
      <c r="I844" s="40"/>
    </row>
    <row r="845" customFormat="false" ht="15" hidden="false" customHeight="false" outlineLevel="0" collapsed="false">
      <c r="I845" s="40"/>
    </row>
    <row r="846" customFormat="false" ht="15" hidden="false" customHeight="false" outlineLevel="0" collapsed="false">
      <c r="I846" s="40"/>
    </row>
    <row r="847" customFormat="false" ht="15" hidden="false" customHeight="false" outlineLevel="0" collapsed="false">
      <c r="I847" s="40"/>
    </row>
    <row r="848" customFormat="false" ht="15" hidden="false" customHeight="false" outlineLevel="0" collapsed="false">
      <c r="I848" s="40"/>
    </row>
    <row r="849" customFormat="false" ht="15" hidden="false" customHeight="false" outlineLevel="0" collapsed="false">
      <c r="I849" s="40"/>
    </row>
    <row r="850" customFormat="false" ht="15" hidden="false" customHeight="false" outlineLevel="0" collapsed="false">
      <c r="I850" s="40"/>
    </row>
    <row r="851" customFormat="false" ht="15" hidden="false" customHeight="false" outlineLevel="0" collapsed="false">
      <c r="I851" s="40"/>
    </row>
    <row r="852" customFormat="false" ht="15" hidden="false" customHeight="false" outlineLevel="0" collapsed="false">
      <c r="I852" s="40"/>
    </row>
    <row r="853" customFormat="false" ht="15" hidden="false" customHeight="false" outlineLevel="0" collapsed="false">
      <c r="I853" s="40"/>
    </row>
    <row r="854" customFormat="false" ht="15" hidden="false" customHeight="false" outlineLevel="0" collapsed="false">
      <c r="I854" s="40"/>
    </row>
    <row r="855" customFormat="false" ht="15" hidden="false" customHeight="false" outlineLevel="0" collapsed="false">
      <c r="I855" s="40"/>
    </row>
    <row r="856" customFormat="false" ht="15" hidden="false" customHeight="false" outlineLevel="0" collapsed="false">
      <c r="I856" s="40"/>
    </row>
    <row r="857" customFormat="false" ht="15" hidden="false" customHeight="false" outlineLevel="0" collapsed="false">
      <c r="I857" s="40"/>
    </row>
    <row r="858" customFormat="false" ht="15" hidden="false" customHeight="false" outlineLevel="0" collapsed="false">
      <c r="I858" s="40"/>
    </row>
    <row r="859" customFormat="false" ht="15" hidden="false" customHeight="false" outlineLevel="0" collapsed="false">
      <c r="I859" s="40"/>
    </row>
    <row r="860" customFormat="false" ht="15" hidden="false" customHeight="false" outlineLevel="0" collapsed="false">
      <c r="I860" s="40"/>
    </row>
    <row r="861" customFormat="false" ht="15" hidden="false" customHeight="false" outlineLevel="0" collapsed="false">
      <c r="I861" s="40"/>
    </row>
    <row r="862" customFormat="false" ht="15" hidden="false" customHeight="false" outlineLevel="0" collapsed="false">
      <c r="I862" s="40"/>
    </row>
    <row r="863" customFormat="false" ht="15" hidden="false" customHeight="false" outlineLevel="0" collapsed="false">
      <c r="I863" s="40"/>
    </row>
    <row r="864" customFormat="false" ht="15" hidden="false" customHeight="false" outlineLevel="0" collapsed="false">
      <c r="I864" s="40"/>
    </row>
    <row r="865" customFormat="false" ht="15" hidden="false" customHeight="false" outlineLevel="0" collapsed="false">
      <c r="I865" s="40"/>
    </row>
    <row r="866" customFormat="false" ht="15" hidden="false" customHeight="false" outlineLevel="0" collapsed="false">
      <c r="I866" s="40"/>
    </row>
    <row r="867" customFormat="false" ht="15" hidden="false" customHeight="false" outlineLevel="0" collapsed="false">
      <c r="I867" s="40"/>
    </row>
    <row r="868" customFormat="false" ht="15" hidden="false" customHeight="false" outlineLevel="0" collapsed="false">
      <c r="I868" s="40"/>
    </row>
    <row r="869" customFormat="false" ht="15" hidden="false" customHeight="false" outlineLevel="0" collapsed="false">
      <c r="I869" s="40"/>
    </row>
    <row r="870" customFormat="false" ht="15" hidden="false" customHeight="false" outlineLevel="0" collapsed="false">
      <c r="I870" s="40"/>
    </row>
    <row r="871" customFormat="false" ht="15" hidden="false" customHeight="false" outlineLevel="0" collapsed="false">
      <c r="I871" s="40"/>
    </row>
    <row r="872" customFormat="false" ht="15" hidden="false" customHeight="false" outlineLevel="0" collapsed="false">
      <c r="I872" s="40"/>
    </row>
    <row r="873" customFormat="false" ht="15" hidden="false" customHeight="false" outlineLevel="0" collapsed="false">
      <c r="I873" s="40"/>
    </row>
    <row r="874" customFormat="false" ht="15" hidden="false" customHeight="false" outlineLevel="0" collapsed="false">
      <c r="I874" s="40"/>
    </row>
    <row r="875" customFormat="false" ht="15" hidden="false" customHeight="false" outlineLevel="0" collapsed="false">
      <c r="I875" s="40"/>
    </row>
    <row r="876" customFormat="false" ht="15" hidden="false" customHeight="false" outlineLevel="0" collapsed="false">
      <c r="I876" s="40"/>
    </row>
    <row r="877" customFormat="false" ht="15" hidden="false" customHeight="false" outlineLevel="0" collapsed="false">
      <c r="I877" s="40"/>
    </row>
    <row r="878" customFormat="false" ht="15" hidden="false" customHeight="false" outlineLevel="0" collapsed="false">
      <c r="I878" s="40"/>
    </row>
    <row r="879" customFormat="false" ht="15" hidden="false" customHeight="false" outlineLevel="0" collapsed="false">
      <c r="I879" s="40"/>
    </row>
    <row r="880" customFormat="false" ht="15" hidden="false" customHeight="false" outlineLevel="0" collapsed="false">
      <c r="I880" s="40"/>
    </row>
    <row r="881" customFormat="false" ht="15" hidden="false" customHeight="false" outlineLevel="0" collapsed="false">
      <c r="I881" s="40"/>
    </row>
    <row r="882" customFormat="false" ht="15" hidden="false" customHeight="false" outlineLevel="0" collapsed="false">
      <c r="I882" s="40"/>
    </row>
    <row r="883" customFormat="false" ht="15" hidden="false" customHeight="false" outlineLevel="0" collapsed="false">
      <c r="I883" s="40"/>
    </row>
    <row r="884" customFormat="false" ht="15" hidden="false" customHeight="false" outlineLevel="0" collapsed="false">
      <c r="I884" s="40"/>
    </row>
    <row r="885" customFormat="false" ht="15" hidden="false" customHeight="false" outlineLevel="0" collapsed="false">
      <c r="I885" s="40"/>
    </row>
    <row r="886" customFormat="false" ht="15" hidden="false" customHeight="false" outlineLevel="0" collapsed="false">
      <c r="I886" s="40"/>
    </row>
    <row r="887" customFormat="false" ht="15" hidden="false" customHeight="false" outlineLevel="0" collapsed="false">
      <c r="I887" s="40"/>
    </row>
    <row r="888" customFormat="false" ht="15" hidden="false" customHeight="false" outlineLevel="0" collapsed="false">
      <c r="I888" s="40"/>
    </row>
    <row r="889" customFormat="false" ht="15" hidden="false" customHeight="false" outlineLevel="0" collapsed="false">
      <c r="I889" s="40"/>
    </row>
    <row r="890" customFormat="false" ht="15" hidden="false" customHeight="false" outlineLevel="0" collapsed="false">
      <c r="I890" s="40"/>
    </row>
    <row r="891" customFormat="false" ht="15" hidden="false" customHeight="false" outlineLevel="0" collapsed="false">
      <c r="I891" s="40"/>
    </row>
    <row r="892" customFormat="false" ht="15" hidden="false" customHeight="false" outlineLevel="0" collapsed="false">
      <c r="I892" s="40"/>
    </row>
    <row r="893" customFormat="false" ht="15" hidden="false" customHeight="false" outlineLevel="0" collapsed="false">
      <c r="I893" s="40"/>
    </row>
    <row r="894" customFormat="false" ht="15" hidden="false" customHeight="false" outlineLevel="0" collapsed="false">
      <c r="I894" s="40"/>
    </row>
    <row r="895" customFormat="false" ht="15" hidden="false" customHeight="false" outlineLevel="0" collapsed="false">
      <c r="I895" s="40"/>
    </row>
    <row r="896" customFormat="false" ht="15" hidden="false" customHeight="false" outlineLevel="0" collapsed="false">
      <c r="I896" s="40"/>
    </row>
    <row r="897" customFormat="false" ht="15" hidden="false" customHeight="false" outlineLevel="0" collapsed="false">
      <c r="I897" s="40"/>
    </row>
    <row r="898" customFormat="false" ht="15" hidden="false" customHeight="false" outlineLevel="0" collapsed="false">
      <c r="I898" s="40"/>
    </row>
    <row r="899" customFormat="false" ht="15" hidden="false" customHeight="false" outlineLevel="0" collapsed="false">
      <c r="I899" s="40"/>
    </row>
    <row r="900" customFormat="false" ht="15" hidden="false" customHeight="false" outlineLevel="0" collapsed="false">
      <c r="I900" s="40"/>
    </row>
    <row r="901" customFormat="false" ht="15" hidden="false" customHeight="false" outlineLevel="0" collapsed="false">
      <c r="I901" s="40"/>
    </row>
    <row r="902" customFormat="false" ht="15" hidden="false" customHeight="false" outlineLevel="0" collapsed="false">
      <c r="I902" s="40"/>
    </row>
    <row r="903" customFormat="false" ht="15" hidden="false" customHeight="false" outlineLevel="0" collapsed="false">
      <c r="I903" s="40"/>
    </row>
    <row r="904" customFormat="false" ht="15" hidden="false" customHeight="false" outlineLevel="0" collapsed="false">
      <c r="I904" s="40"/>
    </row>
    <row r="905" customFormat="false" ht="15" hidden="false" customHeight="false" outlineLevel="0" collapsed="false">
      <c r="I905" s="40"/>
    </row>
    <row r="906" customFormat="false" ht="15" hidden="false" customHeight="false" outlineLevel="0" collapsed="false">
      <c r="I906" s="40"/>
    </row>
    <row r="907" customFormat="false" ht="15" hidden="false" customHeight="false" outlineLevel="0" collapsed="false">
      <c r="I907" s="40"/>
    </row>
    <row r="908" customFormat="false" ht="15" hidden="false" customHeight="false" outlineLevel="0" collapsed="false">
      <c r="I908" s="40"/>
    </row>
    <row r="909" customFormat="false" ht="15" hidden="false" customHeight="false" outlineLevel="0" collapsed="false">
      <c r="I909" s="40"/>
    </row>
    <row r="910" customFormat="false" ht="15" hidden="false" customHeight="false" outlineLevel="0" collapsed="false">
      <c r="I910" s="40"/>
    </row>
    <row r="911" customFormat="false" ht="15" hidden="false" customHeight="false" outlineLevel="0" collapsed="false">
      <c r="I911" s="40"/>
    </row>
    <row r="912" customFormat="false" ht="15" hidden="false" customHeight="false" outlineLevel="0" collapsed="false">
      <c r="I912" s="40"/>
    </row>
    <row r="913" customFormat="false" ht="15" hidden="false" customHeight="false" outlineLevel="0" collapsed="false">
      <c r="I913" s="40"/>
    </row>
    <row r="914" customFormat="false" ht="15" hidden="false" customHeight="false" outlineLevel="0" collapsed="false">
      <c r="I914" s="40"/>
    </row>
    <row r="915" customFormat="false" ht="15" hidden="false" customHeight="false" outlineLevel="0" collapsed="false">
      <c r="I915" s="40"/>
    </row>
    <row r="916" customFormat="false" ht="15" hidden="false" customHeight="false" outlineLevel="0" collapsed="false">
      <c r="I916" s="40"/>
    </row>
    <row r="917" customFormat="false" ht="15" hidden="false" customHeight="false" outlineLevel="0" collapsed="false">
      <c r="I917" s="40"/>
    </row>
    <row r="918" customFormat="false" ht="15" hidden="false" customHeight="false" outlineLevel="0" collapsed="false">
      <c r="I918" s="40"/>
    </row>
    <row r="919" customFormat="false" ht="15" hidden="false" customHeight="false" outlineLevel="0" collapsed="false">
      <c r="I919" s="40"/>
    </row>
    <row r="920" customFormat="false" ht="15" hidden="false" customHeight="false" outlineLevel="0" collapsed="false">
      <c r="I920" s="40"/>
    </row>
    <row r="921" customFormat="false" ht="15" hidden="false" customHeight="false" outlineLevel="0" collapsed="false">
      <c r="I921" s="40"/>
    </row>
    <row r="922" customFormat="false" ht="15" hidden="false" customHeight="false" outlineLevel="0" collapsed="false">
      <c r="I922" s="40"/>
    </row>
    <row r="923" customFormat="false" ht="15" hidden="false" customHeight="false" outlineLevel="0" collapsed="false">
      <c r="I923" s="40"/>
    </row>
    <row r="924" customFormat="false" ht="15" hidden="false" customHeight="false" outlineLevel="0" collapsed="false">
      <c r="I924" s="40"/>
    </row>
    <row r="925" customFormat="false" ht="15" hidden="false" customHeight="false" outlineLevel="0" collapsed="false">
      <c r="I925" s="40"/>
    </row>
    <row r="926" customFormat="false" ht="15" hidden="false" customHeight="false" outlineLevel="0" collapsed="false">
      <c r="I926" s="40"/>
    </row>
    <row r="927" customFormat="false" ht="15" hidden="false" customHeight="false" outlineLevel="0" collapsed="false">
      <c r="I927" s="40"/>
    </row>
    <row r="928" customFormat="false" ht="15" hidden="false" customHeight="false" outlineLevel="0" collapsed="false">
      <c r="I928" s="40"/>
    </row>
    <row r="929" customFormat="false" ht="15" hidden="false" customHeight="false" outlineLevel="0" collapsed="false">
      <c r="I929" s="40"/>
    </row>
    <row r="930" customFormat="false" ht="15" hidden="false" customHeight="false" outlineLevel="0" collapsed="false">
      <c r="I930" s="40"/>
    </row>
    <row r="931" customFormat="false" ht="15" hidden="false" customHeight="false" outlineLevel="0" collapsed="false">
      <c r="I931" s="40"/>
    </row>
    <row r="932" customFormat="false" ht="15" hidden="false" customHeight="false" outlineLevel="0" collapsed="false">
      <c r="I932" s="40"/>
    </row>
    <row r="933" customFormat="false" ht="15" hidden="false" customHeight="false" outlineLevel="0" collapsed="false">
      <c r="I933" s="40"/>
    </row>
    <row r="934" customFormat="false" ht="15" hidden="false" customHeight="false" outlineLevel="0" collapsed="false">
      <c r="I934" s="40"/>
    </row>
    <row r="935" customFormat="false" ht="15" hidden="false" customHeight="false" outlineLevel="0" collapsed="false">
      <c r="I935" s="40"/>
    </row>
    <row r="936" customFormat="false" ht="15" hidden="false" customHeight="false" outlineLevel="0" collapsed="false">
      <c r="I936" s="40"/>
    </row>
    <row r="937" customFormat="false" ht="15" hidden="false" customHeight="false" outlineLevel="0" collapsed="false">
      <c r="I937" s="40"/>
    </row>
    <row r="938" customFormat="false" ht="15" hidden="false" customHeight="false" outlineLevel="0" collapsed="false">
      <c r="I938" s="40"/>
    </row>
    <row r="939" customFormat="false" ht="15" hidden="false" customHeight="false" outlineLevel="0" collapsed="false">
      <c r="I939" s="40"/>
    </row>
    <row r="940" customFormat="false" ht="15" hidden="false" customHeight="false" outlineLevel="0" collapsed="false">
      <c r="I940" s="40"/>
    </row>
    <row r="941" customFormat="false" ht="15" hidden="false" customHeight="false" outlineLevel="0" collapsed="false">
      <c r="I941" s="40"/>
    </row>
    <row r="942" customFormat="false" ht="15" hidden="false" customHeight="false" outlineLevel="0" collapsed="false">
      <c r="I942" s="40"/>
    </row>
    <row r="943" customFormat="false" ht="15" hidden="false" customHeight="false" outlineLevel="0" collapsed="false">
      <c r="I943" s="40"/>
    </row>
    <row r="944" customFormat="false" ht="15" hidden="false" customHeight="false" outlineLevel="0" collapsed="false">
      <c r="I944" s="40"/>
    </row>
    <row r="945" customFormat="false" ht="15" hidden="false" customHeight="false" outlineLevel="0" collapsed="false">
      <c r="I945" s="40"/>
    </row>
    <row r="946" customFormat="false" ht="15" hidden="false" customHeight="false" outlineLevel="0" collapsed="false">
      <c r="I946" s="40"/>
    </row>
    <row r="947" customFormat="false" ht="15" hidden="false" customHeight="false" outlineLevel="0" collapsed="false">
      <c r="I947" s="40"/>
    </row>
    <row r="948" customFormat="false" ht="15" hidden="false" customHeight="false" outlineLevel="0" collapsed="false">
      <c r="I948" s="40"/>
    </row>
    <row r="949" customFormat="false" ht="15" hidden="false" customHeight="false" outlineLevel="0" collapsed="false">
      <c r="I949" s="40"/>
    </row>
    <row r="950" customFormat="false" ht="15" hidden="false" customHeight="false" outlineLevel="0" collapsed="false">
      <c r="I950" s="40"/>
    </row>
    <row r="951" customFormat="false" ht="15" hidden="false" customHeight="false" outlineLevel="0" collapsed="false">
      <c r="I951" s="40"/>
    </row>
    <row r="952" customFormat="false" ht="15" hidden="false" customHeight="false" outlineLevel="0" collapsed="false">
      <c r="I952" s="40"/>
    </row>
    <row r="953" customFormat="false" ht="15" hidden="false" customHeight="false" outlineLevel="0" collapsed="false">
      <c r="I953" s="40"/>
    </row>
    <row r="954" customFormat="false" ht="15" hidden="false" customHeight="false" outlineLevel="0" collapsed="false">
      <c r="I954" s="40"/>
    </row>
    <row r="955" customFormat="false" ht="15" hidden="false" customHeight="false" outlineLevel="0" collapsed="false">
      <c r="I955" s="40"/>
    </row>
    <row r="956" customFormat="false" ht="15" hidden="false" customHeight="false" outlineLevel="0" collapsed="false">
      <c r="I956" s="40"/>
    </row>
    <row r="957" customFormat="false" ht="15" hidden="false" customHeight="false" outlineLevel="0" collapsed="false">
      <c r="I957" s="40"/>
    </row>
    <row r="958" customFormat="false" ht="15" hidden="false" customHeight="false" outlineLevel="0" collapsed="false">
      <c r="I958" s="40"/>
    </row>
    <row r="959" customFormat="false" ht="15" hidden="false" customHeight="false" outlineLevel="0" collapsed="false">
      <c r="I959" s="40"/>
    </row>
    <row r="960" customFormat="false" ht="15" hidden="false" customHeight="false" outlineLevel="0" collapsed="false">
      <c r="I960" s="40"/>
    </row>
    <row r="961" customFormat="false" ht="15" hidden="false" customHeight="false" outlineLevel="0" collapsed="false">
      <c r="I961" s="40"/>
    </row>
    <row r="962" customFormat="false" ht="15" hidden="false" customHeight="false" outlineLevel="0" collapsed="false">
      <c r="I962" s="40"/>
    </row>
    <row r="963" customFormat="false" ht="15" hidden="false" customHeight="false" outlineLevel="0" collapsed="false">
      <c r="I963" s="40"/>
    </row>
    <row r="964" customFormat="false" ht="15" hidden="false" customHeight="false" outlineLevel="0" collapsed="false">
      <c r="I964" s="40"/>
    </row>
    <row r="965" customFormat="false" ht="15" hidden="false" customHeight="false" outlineLevel="0" collapsed="false">
      <c r="I965" s="40"/>
    </row>
    <row r="966" customFormat="false" ht="15" hidden="false" customHeight="false" outlineLevel="0" collapsed="false">
      <c r="I966" s="40"/>
    </row>
    <row r="967" customFormat="false" ht="15" hidden="false" customHeight="false" outlineLevel="0" collapsed="false">
      <c r="I967" s="40"/>
    </row>
    <row r="968" customFormat="false" ht="15" hidden="false" customHeight="false" outlineLevel="0" collapsed="false">
      <c r="I968" s="40"/>
    </row>
    <row r="969" customFormat="false" ht="15" hidden="false" customHeight="false" outlineLevel="0" collapsed="false">
      <c r="I969" s="40"/>
    </row>
    <row r="970" customFormat="false" ht="15" hidden="false" customHeight="false" outlineLevel="0" collapsed="false">
      <c r="I970" s="40"/>
    </row>
    <row r="971" customFormat="false" ht="15" hidden="false" customHeight="false" outlineLevel="0" collapsed="false">
      <c r="I971" s="40"/>
    </row>
    <row r="972" customFormat="false" ht="15" hidden="false" customHeight="false" outlineLevel="0" collapsed="false">
      <c r="I972" s="40"/>
    </row>
    <row r="973" customFormat="false" ht="15" hidden="false" customHeight="false" outlineLevel="0" collapsed="false">
      <c r="I973" s="40"/>
    </row>
    <row r="974" customFormat="false" ht="15" hidden="false" customHeight="false" outlineLevel="0" collapsed="false">
      <c r="I974" s="40"/>
    </row>
    <row r="975" customFormat="false" ht="15" hidden="false" customHeight="false" outlineLevel="0" collapsed="false">
      <c r="I975" s="40"/>
    </row>
    <row r="976" customFormat="false" ht="15" hidden="false" customHeight="false" outlineLevel="0" collapsed="false">
      <c r="I976" s="40"/>
    </row>
    <row r="977" customFormat="false" ht="15" hidden="false" customHeight="false" outlineLevel="0" collapsed="false">
      <c r="I977" s="40"/>
    </row>
    <row r="978" customFormat="false" ht="15" hidden="false" customHeight="false" outlineLevel="0" collapsed="false">
      <c r="I978" s="40"/>
    </row>
    <row r="979" customFormat="false" ht="15" hidden="false" customHeight="false" outlineLevel="0" collapsed="false">
      <c r="I979" s="40"/>
    </row>
    <row r="980" customFormat="false" ht="15" hidden="false" customHeight="false" outlineLevel="0" collapsed="false">
      <c r="I980" s="40"/>
    </row>
    <row r="981" customFormat="false" ht="15" hidden="false" customHeight="false" outlineLevel="0" collapsed="false">
      <c r="I981" s="40"/>
    </row>
    <row r="982" customFormat="false" ht="15" hidden="false" customHeight="false" outlineLevel="0" collapsed="false">
      <c r="I982" s="40"/>
    </row>
    <row r="983" customFormat="false" ht="15" hidden="false" customHeight="false" outlineLevel="0" collapsed="false">
      <c r="I983" s="40"/>
    </row>
    <row r="984" customFormat="false" ht="15" hidden="false" customHeight="false" outlineLevel="0" collapsed="false">
      <c r="I984" s="40"/>
    </row>
    <row r="985" customFormat="false" ht="15" hidden="false" customHeight="false" outlineLevel="0" collapsed="false">
      <c r="I985" s="40"/>
    </row>
    <row r="986" customFormat="false" ht="15" hidden="false" customHeight="false" outlineLevel="0" collapsed="false">
      <c r="I986" s="40"/>
    </row>
    <row r="987" customFormat="false" ht="15" hidden="false" customHeight="false" outlineLevel="0" collapsed="false">
      <c r="I987" s="40"/>
    </row>
    <row r="988" customFormat="false" ht="15" hidden="false" customHeight="false" outlineLevel="0" collapsed="false">
      <c r="I988" s="40"/>
    </row>
    <row r="989" customFormat="false" ht="15" hidden="false" customHeight="false" outlineLevel="0" collapsed="false">
      <c r="I989" s="40"/>
    </row>
    <row r="990" customFormat="false" ht="15" hidden="false" customHeight="false" outlineLevel="0" collapsed="false">
      <c r="I990" s="40"/>
    </row>
    <row r="991" customFormat="false" ht="15" hidden="false" customHeight="false" outlineLevel="0" collapsed="false">
      <c r="I991" s="40"/>
    </row>
    <row r="992" customFormat="false" ht="15" hidden="false" customHeight="false" outlineLevel="0" collapsed="false">
      <c r="I992" s="40"/>
    </row>
    <row r="993" customFormat="false" ht="15" hidden="false" customHeight="false" outlineLevel="0" collapsed="false">
      <c r="I993" s="40"/>
    </row>
    <row r="994" customFormat="false" ht="15" hidden="false" customHeight="false" outlineLevel="0" collapsed="false">
      <c r="I994" s="40"/>
    </row>
    <row r="995" customFormat="false" ht="15" hidden="false" customHeight="false" outlineLevel="0" collapsed="false">
      <c r="I995" s="40"/>
    </row>
    <row r="996" customFormat="false" ht="15" hidden="false" customHeight="false" outlineLevel="0" collapsed="false">
      <c r="I996" s="40"/>
    </row>
    <row r="997" customFormat="false" ht="15" hidden="false" customHeight="false" outlineLevel="0" collapsed="false">
      <c r="I997" s="40"/>
    </row>
    <row r="998" customFormat="false" ht="15" hidden="false" customHeight="false" outlineLevel="0" collapsed="false">
      <c r="I998" s="40"/>
    </row>
    <row r="999" customFormat="false" ht="15" hidden="false" customHeight="false" outlineLevel="0" collapsed="false">
      <c r="I999" s="40"/>
    </row>
    <row r="1000" customFormat="false" ht="15" hidden="false" customHeight="false" outlineLevel="0" collapsed="false">
      <c r="I1000" s="40"/>
    </row>
  </sheetData>
  <autoFilter ref="A1:I1000"/>
  <conditionalFormatting sqref="G2:G1000">
    <cfRule type="cellIs" priority="2" operator="equal" aboveAverage="0" equalAverage="0" bottom="0" percent="0" rank="0" text="" dxfId="18">
      <formula>1</formula>
    </cfRule>
  </conditionalFormatting>
  <dataValidations count="3">
    <dataValidation allowBlank="true" error="id must be a whole number &gt;= 1." errorStyle="stop" errorTitle="Invalid id" operator="greaterThanOrEqual" showDropDown="false" showErrorMessage="true" showInputMessage="false" sqref="A2:A1000" type="whole">
      <formula1>1</formula1>
      <formula2>0</formula2>
    </dataValidation>
    <dataValidation allowBlank="true" error="Pick a value from the category list (see the Lists sheet)." errorStyle="stop" errorTitle="Not in list" operator="between" showDropDown="false" showErrorMessage="true" showInputMessage="false" sqref="C2:C1000" type="list">
      <formula1>Lists!$B$2:$B$9</formula1>
      <formula2>0</formula2>
    </dataValidation>
    <dataValidation allowBlank="true" error="Pick a value from the 0/1 flag list (see the Lists sheet)." errorStyle="stop" errorTitle="Not in list" operator="between" showDropDown="false" showErrorMessage="true" showInputMessage="false" sqref="G2:G1000" type="list">
      <formula1>Lists!$J$2:$J$3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46"/>
    <col collapsed="false" customWidth="true" hidden="false" outlineLevel="0" max="6" min="6" style="0" width="24"/>
    <col collapsed="false" customWidth="true" hidden="false" outlineLevel="0" max="7" min="7" style="0" width="10"/>
    <col collapsed="false" customWidth="true" hidden="false" outlineLevel="0" max="8" min="8" style="0" width="21"/>
  </cols>
  <sheetData>
    <row r="1" customFormat="false" ht="21.75" hidden="false" customHeight="true" outlineLevel="0" collapsed="false">
      <c r="A1" s="6" t="s">
        <v>132</v>
      </c>
      <c r="B1" s="6" t="s">
        <v>141</v>
      </c>
      <c r="C1" s="6" t="s">
        <v>149</v>
      </c>
      <c r="D1" s="6" t="s">
        <v>248</v>
      </c>
      <c r="E1" s="6" t="s">
        <v>167</v>
      </c>
      <c r="F1" s="6" t="s">
        <v>173</v>
      </c>
      <c r="G1" s="6" t="s">
        <v>185</v>
      </c>
      <c r="H1" s="6" t="s">
        <v>191</v>
      </c>
    </row>
    <row r="2" customFormat="false" ht="15" hidden="false" customHeight="false" outlineLevel="0" collapsed="false">
      <c r="A2" s="36" t="n">
        <v>1</v>
      </c>
      <c r="B2" s="36" t="s">
        <v>243</v>
      </c>
      <c r="C2" s="36" t="s">
        <v>598</v>
      </c>
      <c r="D2" s="36" t="s">
        <v>251</v>
      </c>
      <c r="E2" s="8" t="s">
        <v>255</v>
      </c>
      <c r="F2" s="36" t="s">
        <v>258</v>
      </c>
      <c r="G2" s="36" t="s">
        <v>46</v>
      </c>
      <c r="H2" s="37" t="s">
        <v>264</v>
      </c>
    </row>
    <row r="3" customFormat="false" ht="15" hidden="false" customHeight="false" outlineLevel="0" collapsed="false">
      <c r="A3" s="38" t="n">
        <v>2</v>
      </c>
      <c r="B3" s="38" t="s">
        <v>243</v>
      </c>
      <c r="C3" s="38" t="s">
        <v>599</v>
      </c>
      <c r="D3" s="38" t="s">
        <v>600</v>
      </c>
      <c r="E3" s="34" t="s">
        <v>601</v>
      </c>
      <c r="F3" s="38" t="s">
        <v>602</v>
      </c>
      <c r="G3" s="38" t="s">
        <v>46</v>
      </c>
      <c r="H3" s="39" t="s">
        <v>603</v>
      </c>
    </row>
    <row r="4" customFormat="false" ht="15" hidden="false" customHeight="false" outlineLevel="0" collapsed="false">
      <c r="A4" s="36" t="n">
        <v>3</v>
      </c>
      <c r="B4" s="36" t="s">
        <v>243</v>
      </c>
      <c r="C4" s="36" t="s">
        <v>604</v>
      </c>
      <c r="D4" s="36" t="s">
        <v>605</v>
      </c>
      <c r="E4" s="8" t="s">
        <v>606</v>
      </c>
      <c r="F4" s="36" t="s">
        <v>607</v>
      </c>
      <c r="G4" s="36" t="s">
        <v>46</v>
      </c>
      <c r="H4" s="37" t="s">
        <v>608</v>
      </c>
    </row>
    <row r="5" customFormat="false" ht="15" hidden="false" customHeight="false" outlineLevel="0" collapsed="false">
      <c r="A5" s="38" t="n">
        <v>4</v>
      </c>
      <c r="B5" s="38" t="s">
        <v>609</v>
      </c>
      <c r="C5" s="38" t="s">
        <v>246</v>
      </c>
      <c r="D5" s="38"/>
      <c r="E5" s="34" t="s">
        <v>610</v>
      </c>
      <c r="F5" s="38" t="s">
        <v>611</v>
      </c>
      <c r="G5" s="38" t="s">
        <v>46</v>
      </c>
      <c r="H5" s="39" t="s">
        <v>612</v>
      </c>
    </row>
    <row r="6" customFormat="false" ht="15" hidden="false" customHeight="false" outlineLevel="0" collapsed="false">
      <c r="A6" s="36" t="n">
        <v>5</v>
      </c>
      <c r="B6" s="36" t="s">
        <v>243</v>
      </c>
      <c r="C6" s="36" t="s">
        <v>246</v>
      </c>
      <c r="D6" s="36" t="s">
        <v>613</v>
      </c>
      <c r="E6" s="8" t="s">
        <v>614</v>
      </c>
      <c r="F6" s="36" t="s">
        <v>615</v>
      </c>
      <c r="G6" s="36" t="s">
        <v>46</v>
      </c>
      <c r="H6" s="37" t="s">
        <v>616</v>
      </c>
    </row>
    <row r="7" customFormat="false" ht="15" hidden="false" customHeight="false" outlineLevel="0" collapsed="false">
      <c r="A7" s="38" t="n">
        <v>6</v>
      </c>
      <c r="B7" s="38" t="s">
        <v>609</v>
      </c>
      <c r="C7" s="38" t="s">
        <v>617</v>
      </c>
      <c r="D7" s="38"/>
      <c r="E7" s="34" t="s">
        <v>618</v>
      </c>
      <c r="F7" s="38" t="s">
        <v>619</v>
      </c>
      <c r="G7" s="38" t="s">
        <v>46</v>
      </c>
      <c r="H7" s="39" t="s">
        <v>620</v>
      </c>
    </row>
    <row r="8" customFormat="false" ht="15" hidden="false" customHeight="false" outlineLevel="0" collapsed="false">
      <c r="A8" s="36" t="n">
        <v>7</v>
      </c>
      <c r="B8" s="36" t="s">
        <v>243</v>
      </c>
      <c r="C8" s="36" t="s">
        <v>621</v>
      </c>
      <c r="D8" s="36" t="s">
        <v>622</v>
      </c>
      <c r="E8" s="8" t="s">
        <v>623</v>
      </c>
      <c r="F8" s="36" t="s">
        <v>624</v>
      </c>
      <c r="G8" s="36" t="s">
        <v>46</v>
      </c>
      <c r="H8" s="37" t="s">
        <v>625</v>
      </c>
    </row>
    <row r="9" customFormat="false" ht="15" hidden="false" customHeight="false" outlineLevel="0" collapsed="false">
      <c r="H9" s="40"/>
    </row>
    <row r="10" customFormat="false" ht="15" hidden="false" customHeight="false" outlineLevel="0" collapsed="false">
      <c r="H10" s="40"/>
    </row>
    <row r="11" customFormat="false" ht="15" hidden="false" customHeight="false" outlineLevel="0" collapsed="false">
      <c r="H11" s="40"/>
    </row>
    <row r="12" customFormat="false" ht="15" hidden="false" customHeight="false" outlineLevel="0" collapsed="false">
      <c r="H12" s="40"/>
    </row>
    <row r="13" customFormat="false" ht="15" hidden="false" customHeight="false" outlineLevel="0" collapsed="false">
      <c r="H13" s="40"/>
    </row>
    <row r="14" customFormat="false" ht="15" hidden="false" customHeight="false" outlineLevel="0" collapsed="false">
      <c r="H14" s="40"/>
    </row>
    <row r="15" customFormat="false" ht="15" hidden="false" customHeight="false" outlineLevel="0" collapsed="false">
      <c r="H15" s="40"/>
    </row>
    <row r="16" customFormat="false" ht="15" hidden="false" customHeight="false" outlineLevel="0" collapsed="false">
      <c r="H16" s="40"/>
    </row>
    <row r="17" customFormat="false" ht="15" hidden="false" customHeight="false" outlineLevel="0" collapsed="false">
      <c r="H17" s="40"/>
    </row>
    <row r="18" customFormat="false" ht="15" hidden="false" customHeight="false" outlineLevel="0" collapsed="false">
      <c r="H18" s="40"/>
    </row>
    <row r="19" customFormat="false" ht="15" hidden="false" customHeight="false" outlineLevel="0" collapsed="false">
      <c r="H19" s="40"/>
    </row>
    <row r="20" customFormat="false" ht="15" hidden="false" customHeight="false" outlineLevel="0" collapsed="false">
      <c r="H20" s="40"/>
    </row>
    <row r="21" customFormat="false" ht="15" hidden="false" customHeight="false" outlineLevel="0" collapsed="false">
      <c r="H21" s="40"/>
    </row>
    <row r="22" customFormat="false" ht="15" hidden="false" customHeight="false" outlineLevel="0" collapsed="false">
      <c r="H22" s="40"/>
    </row>
    <row r="23" customFormat="false" ht="15" hidden="false" customHeight="false" outlineLevel="0" collapsed="false">
      <c r="H23" s="40"/>
    </row>
    <row r="24" customFormat="false" ht="15" hidden="false" customHeight="false" outlineLevel="0" collapsed="false">
      <c r="H24" s="40"/>
    </row>
    <row r="25" customFormat="false" ht="15" hidden="false" customHeight="false" outlineLevel="0" collapsed="false">
      <c r="H25" s="40"/>
    </row>
    <row r="26" customFormat="false" ht="15" hidden="false" customHeight="false" outlineLevel="0" collapsed="false">
      <c r="H26" s="40"/>
    </row>
    <row r="27" customFormat="false" ht="15" hidden="false" customHeight="false" outlineLevel="0" collapsed="false">
      <c r="H27" s="40"/>
    </row>
    <row r="28" customFormat="false" ht="15" hidden="false" customHeight="false" outlineLevel="0" collapsed="false">
      <c r="H28" s="40"/>
    </row>
    <row r="29" customFormat="false" ht="15" hidden="false" customHeight="false" outlineLevel="0" collapsed="false">
      <c r="H29" s="40"/>
    </row>
    <row r="30" customFormat="false" ht="15" hidden="false" customHeight="false" outlineLevel="0" collapsed="false">
      <c r="H30" s="40"/>
    </row>
    <row r="31" customFormat="false" ht="15" hidden="false" customHeight="false" outlineLevel="0" collapsed="false">
      <c r="H31" s="40"/>
    </row>
    <row r="32" customFormat="false" ht="15" hidden="false" customHeight="false" outlineLevel="0" collapsed="false">
      <c r="H32" s="40"/>
    </row>
    <row r="33" customFormat="false" ht="15" hidden="false" customHeight="false" outlineLevel="0" collapsed="false">
      <c r="H33" s="40"/>
    </row>
    <row r="34" customFormat="false" ht="15" hidden="false" customHeight="false" outlineLevel="0" collapsed="false">
      <c r="H34" s="40"/>
    </row>
    <row r="35" customFormat="false" ht="15" hidden="false" customHeight="false" outlineLevel="0" collapsed="false">
      <c r="H35" s="40"/>
    </row>
    <row r="36" customFormat="false" ht="15" hidden="false" customHeight="false" outlineLevel="0" collapsed="false">
      <c r="H36" s="40"/>
    </row>
    <row r="37" customFormat="false" ht="15" hidden="false" customHeight="false" outlineLevel="0" collapsed="false">
      <c r="H37" s="40"/>
    </row>
    <row r="38" customFormat="false" ht="15" hidden="false" customHeight="false" outlineLevel="0" collapsed="false">
      <c r="H38" s="40"/>
    </row>
    <row r="39" customFormat="false" ht="15" hidden="false" customHeight="false" outlineLevel="0" collapsed="false">
      <c r="H39" s="40"/>
    </row>
    <row r="40" customFormat="false" ht="15" hidden="false" customHeight="false" outlineLevel="0" collapsed="false">
      <c r="H40" s="40"/>
    </row>
    <row r="41" customFormat="false" ht="15" hidden="false" customHeight="false" outlineLevel="0" collapsed="false">
      <c r="H41" s="40"/>
    </row>
    <row r="42" customFormat="false" ht="15" hidden="false" customHeight="false" outlineLevel="0" collapsed="false">
      <c r="H42" s="40"/>
    </row>
    <row r="43" customFormat="false" ht="15" hidden="false" customHeight="false" outlineLevel="0" collapsed="false">
      <c r="H43" s="40"/>
    </row>
    <row r="44" customFormat="false" ht="15" hidden="false" customHeight="false" outlineLevel="0" collapsed="false">
      <c r="H44" s="40"/>
    </row>
    <row r="45" customFormat="false" ht="15" hidden="false" customHeight="false" outlineLevel="0" collapsed="false">
      <c r="H45" s="40"/>
    </row>
    <row r="46" customFormat="false" ht="15" hidden="false" customHeight="false" outlineLevel="0" collapsed="false">
      <c r="H46" s="40"/>
    </row>
    <row r="47" customFormat="false" ht="15" hidden="false" customHeight="false" outlineLevel="0" collapsed="false">
      <c r="H47" s="40"/>
    </row>
    <row r="48" customFormat="false" ht="15" hidden="false" customHeight="false" outlineLevel="0" collapsed="false">
      <c r="H48" s="40"/>
    </row>
    <row r="49" customFormat="false" ht="15" hidden="false" customHeight="false" outlineLevel="0" collapsed="false">
      <c r="H49" s="40"/>
    </row>
    <row r="50" customFormat="false" ht="15" hidden="false" customHeight="false" outlineLevel="0" collapsed="false">
      <c r="H50" s="40"/>
    </row>
    <row r="51" customFormat="false" ht="15" hidden="false" customHeight="false" outlineLevel="0" collapsed="false">
      <c r="H51" s="40"/>
    </row>
    <row r="52" customFormat="false" ht="15" hidden="false" customHeight="false" outlineLevel="0" collapsed="false">
      <c r="H52" s="40"/>
    </row>
    <row r="53" customFormat="false" ht="15" hidden="false" customHeight="false" outlineLevel="0" collapsed="false">
      <c r="H53" s="40"/>
    </row>
    <row r="54" customFormat="false" ht="15" hidden="false" customHeight="false" outlineLevel="0" collapsed="false">
      <c r="H54" s="40"/>
    </row>
    <row r="55" customFormat="false" ht="15" hidden="false" customHeight="false" outlineLevel="0" collapsed="false">
      <c r="H55" s="40"/>
    </row>
    <row r="56" customFormat="false" ht="15" hidden="false" customHeight="false" outlineLevel="0" collapsed="false">
      <c r="H56" s="40"/>
    </row>
    <row r="57" customFormat="false" ht="15" hidden="false" customHeight="false" outlineLevel="0" collapsed="false">
      <c r="H57" s="40"/>
    </row>
    <row r="58" customFormat="false" ht="15" hidden="false" customHeight="false" outlineLevel="0" collapsed="false">
      <c r="H58" s="40"/>
    </row>
    <row r="59" customFormat="false" ht="15" hidden="false" customHeight="false" outlineLevel="0" collapsed="false">
      <c r="H59" s="40"/>
    </row>
    <row r="60" customFormat="false" ht="15" hidden="false" customHeight="false" outlineLevel="0" collapsed="false">
      <c r="H60" s="40"/>
    </row>
    <row r="61" customFormat="false" ht="15" hidden="false" customHeight="false" outlineLevel="0" collapsed="false">
      <c r="H61" s="40"/>
    </row>
    <row r="62" customFormat="false" ht="15" hidden="false" customHeight="false" outlineLevel="0" collapsed="false">
      <c r="H62" s="40"/>
    </row>
    <row r="63" customFormat="false" ht="15" hidden="false" customHeight="false" outlineLevel="0" collapsed="false">
      <c r="H63" s="40"/>
    </row>
    <row r="64" customFormat="false" ht="15" hidden="false" customHeight="false" outlineLevel="0" collapsed="false">
      <c r="H64" s="40"/>
    </row>
    <row r="65" customFormat="false" ht="15" hidden="false" customHeight="false" outlineLevel="0" collapsed="false">
      <c r="H65" s="40"/>
    </row>
    <row r="66" customFormat="false" ht="15" hidden="false" customHeight="false" outlineLevel="0" collapsed="false">
      <c r="H66" s="40"/>
    </row>
    <row r="67" customFormat="false" ht="15" hidden="false" customHeight="false" outlineLevel="0" collapsed="false">
      <c r="H67" s="40"/>
    </row>
    <row r="68" customFormat="false" ht="15" hidden="false" customHeight="false" outlineLevel="0" collapsed="false">
      <c r="H68" s="40"/>
    </row>
    <row r="69" customFormat="false" ht="15" hidden="false" customHeight="false" outlineLevel="0" collapsed="false">
      <c r="H69" s="40"/>
    </row>
    <row r="70" customFormat="false" ht="15" hidden="false" customHeight="false" outlineLevel="0" collapsed="false">
      <c r="H70" s="40"/>
    </row>
    <row r="71" customFormat="false" ht="15" hidden="false" customHeight="false" outlineLevel="0" collapsed="false">
      <c r="H71" s="40"/>
    </row>
    <row r="72" customFormat="false" ht="15" hidden="false" customHeight="false" outlineLevel="0" collapsed="false">
      <c r="H72" s="40"/>
    </row>
    <row r="73" customFormat="false" ht="15" hidden="false" customHeight="false" outlineLevel="0" collapsed="false">
      <c r="H73" s="40"/>
    </row>
    <row r="74" customFormat="false" ht="15" hidden="false" customHeight="false" outlineLevel="0" collapsed="false">
      <c r="H74" s="40"/>
    </row>
    <row r="75" customFormat="false" ht="15" hidden="false" customHeight="false" outlineLevel="0" collapsed="false">
      <c r="H75" s="40"/>
    </row>
    <row r="76" customFormat="false" ht="15" hidden="false" customHeight="false" outlineLevel="0" collapsed="false">
      <c r="H76" s="40"/>
    </row>
    <row r="77" customFormat="false" ht="15" hidden="false" customHeight="false" outlineLevel="0" collapsed="false">
      <c r="H77" s="40"/>
    </row>
    <row r="78" customFormat="false" ht="15" hidden="false" customHeight="false" outlineLevel="0" collapsed="false">
      <c r="H78" s="40"/>
    </row>
    <row r="79" customFormat="false" ht="15" hidden="false" customHeight="false" outlineLevel="0" collapsed="false">
      <c r="H79" s="40"/>
    </row>
    <row r="80" customFormat="false" ht="15" hidden="false" customHeight="false" outlineLevel="0" collapsed="false">
      <c r="H80" s="40"/>
    </row>
    <row r="81" customFormat="false" ht="15" hidden="false" customHeight="false" outlineLevel="0" collapsed="false">
      <c r="H81" s="40"/>
    </row>
    <row r="82" customFormat="false" ht="15" hidden="false" customHeight="false" outlineLevel="0" collapsed="false">
      <c r="H82" s="40"/>
    </row>
    <row r="83" customFormat="false" ht="15" hidden="false" customHeight="false" outlineLevel="0" collapsed="false">
      <c r="H83" s="40"/>
    </row>
    <row r="84" customFormat="false" ht="15" hidden="false" customHeight="false" outlineLevel="0" collapsed="false">
      <c r="H84" s="40"/>
    </row>
    <row r="85" customFormat="false" ht="15" hidden="false" customHeight="false" outlineLevel="0" collapsed="false">
      <c r="H85" s="40"/>
    </row>
    <row r="86" customFormat="false" ht="15" hidden="false" customHeight="false" outlineLevel="0" collapsed="false">
      <c r="H86" s="40"/>
    </row>
    <row r="87" customFormat="false" ht="15" hidden="false" customHeight="false" outlineLevel="0" collapsed="false">
      <c r="H87" s="40"/>
    </row>
    <row r="88" customFormat="false" ht="15" hidden="false" customHeight="false" outlineLevel="0" collapsed="false">
      <c r="H88" s="40"/>
    </row>
    <row r="89" customFormat="false" ht="15" hidden="false" customHeight="false" outlineLevel="0" collapsed="false">
      <c r="H89" s="40"/>
    </row>
    <row r="90" customFormat="false" ht="15" hidden="false" customHeight="false" outlineLevel="0" collapsed="false">
      <c r="H90" s="40"/>
    </row>
    <row r="91" customFormat="false" ht="15" hidden="false" customHeight="false" outlineLevel="0" collapsed="false">
      <c r="H91" s="40"/>
    </row>
    <row r="92" customFormat="false" ht="15" hidden="false" customHeight="false" outlineLevel="0" collapsed="false">
      <c r="H92" s="40"/>
    </row>
    <row r="93" customFormat="false" ht="15" hidden="false" customHeight="false" outlineLevel="0" collapsed="false">
      <c r="H93" s="40"/>
    </row>
    <row r="94" customFormat="false" ht="15" hidden="false" customHeight="false" outlineLevel="0" collapsed="false">
      <c r="H94" s="40"/>
    </row>
    <row r="95" customFormat="false" ht="15" hidden="false" customHeight="false" outlineLevel="0" collapsed="false">
      <c r="H95" s="40"/>
    </row>
    <row r="96" customFormat="false" ht="15" hidden="false" customHeight="false" outlineLevel="0" collapsed="false">
      <c r="H96" s="40"/>
    </row>
    <row r="97" customFormat="false" ht="15" hidden="false" customHeight="false" outlineLevel="0" collapsed="false">
      <c r="H97" s="40"/>
    </row>
    <row r="98" customFormat="false" ht="15" hidden="false" customHeight="false" outlineLevel="0" collapsed="false">
      <c r="H98" s="40"/>
    </row>
    <row r="99" customFormat="false" ht="15" hidden="false" customHeight="false" outlineLevel="0" collapsed="false">
      <c r="H99" s="40"/>
    </row>
    <row r="100" customFormat="false" ht="15" hidden="false" customHeight="false" outlineLevel="0" collapsed="false">
      <c r="H100" s="40"/>
    </row>
    <row r="101" customFormat="false" ht="15" hidden="false" customHeight="false" outlineLevel="0" collapsed="false">
      <c r="H101" s="40"/>
    </row>
    <row r="102" customFormat="false" ht="15" hidden="false" customHeight="false" outlineLevel="0" collapsed="false">
      <c r="H102" s="40"/>
    </row>
    <row r="103" customFormat="false" ht="15" hidden="false" customHeight="false" outlineLevel="0" collapsed="false">
      <c r="H103" s="40"/>
    </row>
    <row r="104" customFormat="false" ht="15" hidden="false" customHeight="false" outlineLevel="0" collapsed="false">
      <c r="H104" s="40"/>
    </row>
    <row r="105" customFormat="false" ht="15" hidden="false" customHeight="false" outlineLevel="0" collapsed="false">
      <c r="H105" s="40"/>
    </row>
    <row r="106" customFormat="false" ht="15" hidden="false" customHeight="false" outlineLevel="0" collapsed="false">
      <c r="H106" s="40"/>
    </row>
    <row r="107" customFormat="false" ht="15" hidden="false" customHeight="false" outlineLevel="0" collapsed="false">
      <c r="H107" s="40"/>
    </row>
    <row r="108" customFormat="false" ht="15" hidden="false" customHeight="false" outlineLevel="0" collapsed="false">
      <c r="H108" s="40"/>
    </row>
    <row r="109" customFormat="false" ht="15" hidden="false" customHeight="false" outlineLevel="0" collapsed="false">
      <c r="H109" s="40"/>
    </row>
    <row r="110" customFormat="false" ht="15" hidden="false" customHeight="false" outlineLevel="0" collapsed="false">
      <c r="H110" s="40"/>
    </row>
    <row r="111" customFormat="false" ht="15" hidden="false" customHeight="false" outlineLevel="0" collapsed="false">
      <c r="H111" s="40"/>
    </row>
    <row r="112" customFormat="false" ht="15" hidden="false" customHeight="false" outlineLevel="0" collapsed="false">
      <c r="H112" s="40"/>
    </row>
    <row r="113" customFormat="false" ht="15" hidden="false" customHeight="false" outlineLevel="0" collapsed="false">
      <c r="H113" s="40"/>
    </row>
    <row r="114" customFormat="false" ht="15" hidden="false" customHeight="false" outlineLevel="0" collapsed="false">
      <c r="H114" s="40"/>
    </row>
    <row r="115" customFormat="false" ht="15" hidden="false" customHeight="false" outlineLevel="0" collapsed="false">
      <c r="H115" s="40"/>
    </row>
    <row r="116" customFormat="false" ht="15" hidden="false" customHeight="false" outlineLevel="0" collapsed="false">
      <c r="H116" s="40"/>
    </row>
    <row r="117" customFormat="false" ht="15" hidden="false" customHeight="false" outlineLevel="0" collapsed="false">
      <c r="H117" s="40"/>
    </row>
    <row r="118" customFormat="false" ht="15" hidden="false" customHeight="false" outlineLevel="0" collapsed="false">
      <c r="H118" s="40"/>
    </row>
    <row r="119" customFormat="false" ht="15" hidden="false" customHeight="false" outlineLevel="0" collapsed="false">
      <c r="H119" s="40"/>
    </row>
    <row r="120" customFormat="false" ht="15" hidden="false" customHeight="false" outlineLevel="0" collapsed="false">
      <c r="H120" s="40"/>
    </row>
    <row r="121" customFormat="false" ht="15" hidden="false" customHeight="false" outlineLevel="0" collapsed="false">
      <c r="H121" s="40"/>
    </row>
    <row r="122" customFormat="false" ht="15" hidden="false" customHeight="false" outlineLevel="0" collapsed="false">
      <c r="H122" s="40"/>
    </row>
    <row r="123" customFormat="false" ht="15" hidden="false" customHeight="false" outlineLevel="0" collapsed="false">
      <c r="H123" s="40"/>
    </row>
    <row r="124" customFormat="false" ht="15" hidden="false" customHeight="false" outlineLevel="0" collapsed="false">
      <c r="H124" s="40"/>
    </row>
    <row r="125" customFormat="false" ht="15" hidden="false" customHeight="false" outlineLevel="0" collapsed="false">
      <c r="H125" s="40"/>
    </row>
    <row r="126" customFormat="false" ht="15" hidden="false" customHeight="false" outlineLevel="0" collapsed="false">
      <c r="H126" s="40"/>
    </row>
    <row r="127" customFormat="false" ht="15" hidden="false" customHeight="false" outlineLevel="0" collapsed="false">
      <c r="H127" s="40"/>
    </row>
    <row r="128" customFormat="false" ht="15" hidden="false" customHeight="false" outlineLevel="0" collapsed="false">
      <c r="H128" s="40"/>
    </row>
    <row r="129" customFormat="false" ht="15" hidden="false" customHeight="false" outlineLevel="0" collapsed="false">
      <c r="H129" s="40"/>
    </row>
    <row r="130" customFormat="false" ht="15" hidden="false" customHeight="false" outlineLevel="0" collapsed="false">
      <c r="H130" s="40"/>
    </row>
    <row r="131" customFormat="false" ht="15" hidden="false" customHeight="false" outlineLevel="0" collapsed="false">
      <c r="H131" s="40"/>
    </row>
    <row r="132" customFormat="false" ht="15" hidden="false" customHeight="false" outlineLevel="0" collapsed="false">
      <c r="H132" s="40"/>
    </row>
    <row r="133" customFormat="false" ht="15" hidden="false" customHeight="false" outlineLevel="0" collapsed="false">
      <c r="H133" s="40"/>
    </row>
    <row r="134" customFormat="false" ht="15" hidden="false" customHeight="false" outlineLevel="0" collapsed="false">
      <c r="H134" s="40"/>
    </row>
    <row r="135" customFormat="false" ht="15" hidden="false" customHeight="false" outlineLevel="0" collapsed="false">
      <c r="H135" s="40"/>
    </row>
    <row r="136" customFormat="false" ht="15" hidden="false" customHeight="false" outlineLevel="0" collapsed="false">
      <c r="H136" s="40"/>
    </row>
    <row r="137" customFormat="false" ht="15" hidden="false" customHeight="false" outlineLevel="0" collapsed="false">
      <c r="H137" s="40"/>
    </row>
    <row r="138" customFormat="false" ht="15" hidden="false" customHeight="false" outlineLevel="0" collapsed="false">
      <c r="H138" s="40"/>
    </row>
    <row r="139" customFormat="false" ht="15" hidden="false" customHeight="false" outlineLevel="0" collapsed="false">
      <c r="H139" s="40"/>
    </row>
    <row r="140" customFormat="false" ht="15" hidden="false" customHeight="false" outlineLevel="0" collapsed="false">
      <c r="H140" s="40"/>
    </row>
    <row r="141" customFormat="false" ht="15" hidden="false" customHeight="false" outlineLevel="0" collapsed="false">
      <c r="H141" s="40"/>
    </row>
    <row r="142" customFormat="false" ht="15" hidden="false" customHeight="false" outlineLevel="0" collapsed="false">
      <c r="H142" s="40"/>
    </row>
    <row r="143" customFormat="false" ht="15" hidden="false" customHeight="false" outlineLevel="0" collapsed="false">
      <c r="H143" s="40"/>
    </row>
    <row r="144" customFormat="false" ht="15" hidden="false" customHeight="false" outlineLevel="0" collapsed="false">
      <c r="H144" s="40"/>
    </row>
    <row r="145" customFormat="false" ht="15" hidden="false" customHeight="false" outlineLevel="0" collapsed="false">
      <c r="H145" s="40"/>
    </row>
    <row r="146" customFormat="false" ht="15" hidden="false" customHeight="false" outlineLevel="0" collapsed="false">
      <c r="H146" s="40"/>
    </row>
    <row r="147" customFormat="false" ht="15" hidden="false" customHeight="false" outlineLevel="0" collapsed="false">
      <c r="H147" s="40"/>
    </row>
    <row r="148" customFormat="false" ht="15" hidden="false" customHeight="false" outlineLevel="0" collapsed="false">
      <c r="H148" s="40"/>
    </row>
    <row r="149" customFormat="false" ht="15" hidden="false" customHeight="false" outlineLevel="0" collapsed="false">
      <c r="H149" s="40"/>
    </row>
    <row r="150" customFormat="false" ht="15" hidden="false" customHeight="false" outlineLevel="0" collapsed="false">
      <c r="H150" s="40"/>
    </row>
    <row r="151" customFormat="false" ht="15" hidden="false" customHeight="false" outlineLevel="0" collapsed="false">
      <c r="H151" s="40"/>
    </row>
    <row r="152" customFormat="false" ht="15" hidden="false" customHeight="false" outlineLevel="0" collapsed="false">
      <c r="H152" s="40"/>
    </row>
    <row r="153" customFormat="false" ht="15" hidden="false" customHeight="false" outlineLevel="0" collapsed="false">
      <c r="H153" s="40"/>
    </row>
    <row r="154" customFormat="false" ht="15" hidden="false" customHeight="false" outlineLevel="0" collapsed="false">
      <c r="H154" s="40"/>
    </row>
    <row r="155" customFormat="false" ht="15" hidden="false" customHeight="false" outlineLevel="0" collapsed="false">
      <c r="H155" s="40"/>
    </row>
    <row r="156" customFormat="false" ht="15" hidden="false" customHeight="false" outlineLevel="0" collapsed="false">
      <c r="H156" s="40"/>
    </row>
    <row r="157" customFormat="false" ht="15" hidden="false" customHeight="false" outlineLevel="0" collapsed="false">
      <c r="H157" s="40"/>
    </row>
    <row r="158" customFormat="false" ht="15" hidden="false" customHeight="false" outlineLevel="0" collapsed="false">
      <c r="H158" s="40"/>
    </row>
    <row r="159" customFormat="false" ht="15" hidden="false" customHeight="false" outlineLevel="0" collapsed="false">
      <c r="H159" s="40"/>
    </row>
    <row r="160" customFormat="false" ht="15" hidden="false" customHeight="false" outlineLevel="0" collapsed="false">
      <c r="H160" s="40"/>
    </row>
    <row r="161" customFormat="false" ht="15" hidden="false" customHeight="false" outlineLevel="0" collapsed="false">
      <c r="H161" s="40"/>
    </row>
    <row r="162" customFormat="false" ht="15" hidden="false" customHeight="false" outlineLevel="0" collapsed="false">
      <c r="H162" s="40"/>
    </row>
    <row r="163" customFormat="false" ht="15" hidden="false" customHeight="false" outlineLevel="0" collapsed="false">
      <c r="H163" s="40"/>
    </row>
    <row r="164" customFormat="false" ht="15" hidden="false" customHeight="false" outlineLevel="0" collapsed="false">
      <c r="H164" s="40"/>
    </row>
    <row r="165" customFormat="false" ht="15" hidden="false" customHeight="false" outlineLevel="0" collapsed="false">
      <c r="H165" s="40"/>
    </row>
    <row r="166" customFormat="false" ht="15" hidden="false" customHeight="false" outlineLevel="0" collapsed="false">
      <c r="H166" s="40"/>
    </row>
    <row r="167" customFormat="false" ht="15" hidden="false" customHeight="false" outlineLevel="0" collapsed="false">
      <c r="H167" s="40"/>
    </row>
    <row r="168" customFormat="false" ht="15" hidden="false" customHeight="false" outlineLevel="0" collapsed="false">
      <c r="H168" s="40"/>
    </row>
    <row r="169" customFormat="false" ht="15" hidden="false" customHeight="false" outlineLevel="0" collapsed="false">
      <c r="H169" s="40"/>
    </row>
    <row r="170" customFormat="false" ht="15" hidden="false" customHeight="false" outlineLevel="0" collapsed="false">
      <c r="H170" s="40"/>
    </row>
    <row r="171" customFormat="false" ht="15" hidden="false" customHeight="false" outlineLevel="0" collapsed="false">
      <c r="H171" s="40"/>
    </row>
    <row r="172" customFormat="false" ht="15" hidden="false" customHeight="false" outlineLevel="0" collapsed="false">
      <c r="H172" s="40"/>
    </row>
    <row r="173" customFormat="false" ht="15" hidden="false" customHeight="false" outlineLevel="0" collapsed="false">
      <c r="H173" s="40"/>
    </row>
    <row r="174" customFormat="false" ht="15" hidden="false" customHeight="false" outlineLevel="0" collapsed="false">
      <c r="H174" s="40"/>
    </row>
    <row r="175" customFormat="false" ht="15" hidden="false" customHeight="false" outlineLevel="0" collapsed="false">
      <c r="H175" s="40"/>
    </row>
    <row r="176" customFormat="false" ht="15" hidden="false" customHeight="false" outlineLevel="0" collapsed="false">
      <c r="H176" s="40"/>
    </row>
    <row r="177" customFormat="false" ht="15" hidden="false" customHeight="false" outlineLevel="0" collapsed="false">
      <c r="H177" s="40"/>
    </row>
    <row r="178" customFormat="false" ht="15" hidden="false" customHeight="false" outlineLevel="0" collapsed="false">
      <c r="H178" s="40"/>
    </row>
    <row r="179" customFormat="false" ht="15" hidden="false" customHeight="false" outlineLevel="0" collapsed="false">
      <c r="H179" s="40"/>
    </row>
    <row r="180" customFormat="false" ht="15" hidden="false" customHeight="false" outlineLevel="0" collapsed="false">
      <c r="H180" s="40"/>
    </row>
    <row r="181" customFormat="false" ht="15" hidden="false" customHeight="false" outlineLevel="0" collapsed="false">
      <c r="H181" s="40"/>
    </row>
    <row r="182" customFormat="false" ht="15" hidden="false" customHeight="false" outlineLevel="0" collapsed="false">
      <c r="H182" s="40"/>
    </row>
    <row r="183" customFormat="false" ht="15" hidden="false" customHeight="false" outlineLevel="0" collapsed="false">
      <c r="H183" s="40"/>
    </row>
    <row r="184" customFormat="false" ht="15" hidden="false" customHeight="false" outlineLevel="0" collapsed="false">
      <c r="H184" s="40"/>
    </row>
    <row r="185" customFormat="false" ht="15" hidden="false" customHeight="false" outlineLevel="0" collapsed="false">
      <c r="H185" s="40"/>
    </row>
    <row r="186" customFormat="false" ht="15" hidden="false" customHeight="false" outlineLevel="0" collapsed="false">
      <c r="H186" s="40"/>
    </row>
    <row r="187" customFormat="false" ht="15" hidden="false" customHeight="false" outlineLevel="0" collapsed="false">
      <c r="H187" s="40"/>
    </row>
    <row r="188" customFormat="false" ht="15" hidden="false" customHeight="false" outlineLevel="0" collapsed="false">
      <c r="H188" s="40"/>
    </row>
    <row r="189" customFormat="false" ht="15" hidden="false" customHeight="false" outlineLevel="0" collapsed="false">
      <c r="H189" s="40"/>
    </row>
    <row r="190" customFormat="false" ht="15" hidden="false" customHeight="false" outlineLevel="0" collapsed="false">
      <c r="H190" s="40"/>
    </row>
    <row r="191" customFormat="false" ht="15" hidden="false" customHeight="false" outlineLevel="0" collapsed="false">
      <c r="H191" s="40"/>
    </row>
    <row r="192" customFormat="false" ht="15" hidden="false" customHeight="false" outlineLevel="0" collapsed="false">
      <c r="H192" s="40"/>
    </row>
    <row r="193" customFormat="false" ht="15" hidden="false" customHeight="false" outlineLevel="0" collapsed="false">
      <c r="H193" s="40"/>
    </row>
    <row r="194" customFormat="false" ht="15" hidden="false" customHeight="false" outlineLevel="0" collapsed="false">
      <c r="H194" s="40"/>
    </row>
    <row r="195" customFormat="false" ht="15" hidden="false" customHeight="false" outlineLevel="0" collapsed="false">
      <c r="H195" s="40"/>
    </row>
    <row r="196" customFormat="false" ht="15" hidden="false" customHeight="false" outlineLevel="0" collapsed="false">
      <c r="H196" s="40"/>
    </row>
    <row r="197" customFormat="false" ht="15" hidden="false" customHeight="false" outlineLevel="0" collapsed="false">
      <c r="H197" s="40"/>
    </row>
    <row r="198" customFormat="false" ht="15" hidden="false" customHeight="false" outlineLevel="0" collapsed="false">
      <c r="H198" s="40"/>
    </row>
    <row r="199" customFormat="false" ht="15" hidden="false" customHeight="false" outlineLevel="0" collapsed="false">
      <c r="H199" s="40"/>
    </row>
    <row r="200" customFormat="false" ht="15" hidden="false" customHeight="false" outlineLevel="0" collapsed="false">
      <c r="H200" s="40"/>
    </row>
    <row r="201" customFormat="false" ht="15" hidden="false" customHeight="false" outlineLevel="0" collapsed="false">
      <c r="H201" s="40"/>
    </row>
    <row r="202" customFormat="false" ht="15" hidden="false" customHeight="false" outlineLevel="0" collapsed="false">
      <c r="H202" s="40"/>
    </row>
    <row r="203" customFormat="false" ht="15" hidden="false" customHeight="false" outlineLevel="0" collapsed="false">
      <c r="H203" s="40"/>
    </row>
    <row r="204" customFormat="false" ht="15" hidden="false" customHeight="false" outlineLevel="0" collapsed="false">
      <c r="H204" s="40"/>
    </row>
    <row r="205" customFormat="false" ht="15" hidden="false" customHeight="false" outlineLevel="0" collapsed="false">
      <c r="H205" s="40"/>
    </row>
    <row r="206" customFormat="false" ht="15" hidden="false" customHeight="false" outlineLevel="0" collapsed="false">
      <c r="H206" s="40"/>
    </row>
    <row r="207" customFormat="false" ht="15" hidden="false" customHeight="false" outlineLevel="0" collapsed="false">
      <c r="H207" s="40"/>
    </row>
    <row r="208" customFormat="false" ht="15" hidden="false" customHeight="false" outlineLevel="0" collapsed="false">
      <c r="H208" s="40"/>
    </row>
    <row r="209" customFormat="false" ht="15" hidden="false" customHeight="false" outlineLevel="0" collapsed="false">
      <c r="H209" s="40"/>
    </row>
    <row r="210" customFormat="false" ht="15" hidden="false" customHeight="false" outlineLevel="0" collapsed="false">
      <c r="H210" s="40"/>
    </row>
    <row r="211" customFormat="false" ht="15" hidden="false" customHeight="false" outlineLevel="0" collapsed="false">
      <c r="H211" s="40"/>
    </row>
    <row r="212" customFormat="false" ht="15" hidden="false" customHeight="false" outlineLevel="0" collapsed="false">
      <c r="H212" s="40"/>
    </row>
    <row r="213" customFormat="false" ht="15" hidden="false" customHeight="false" outlineLevel="0" collapsed="false">
      <c r="H213" s="40"/>
    </row>
    <row r="214" customFormat="false" ht="15" hidden="false" customHeight="false" outlineLevel="0" collapsed="false">
      <c r="H214" s="40"/>
    </row>
    <row r="215" customFormat="false" ht="15" hidden="false" customHeight="false" outlineLevel="0" collapsed="false">
      <c r="H215" s="40"/>
    </row>
    <row r="216" customFormat="false" ht="15" hidden="false" customHeight="false" outlineLevel="0" collapsed="false">
      <c r="H216" s="40"/>
    </row>
    <row r="217" customFormat="false" ht="15" hidden="false" customHeight="false" outlineLevel="0" collapsed="false">
      <c r="H217" s="40"/>
    </row>
    <row r="218" customFormat="false" ht="15" hidden="false" customHeight="false" outlineLevel="0" collapsed="false">
      <c r="H218" s="40"/>
    </row>
    <row r="219" customFormat="false" ht="15" hidden="false" customHeight="false" outlineLevel="0" collapsed="false">
      <c r="H219" s="40"/>
    </row>
    <row r="220" customFormat="false" ht="15" hidden="false" customHeight="false" outlineLevel="0" collapsed="false">
      <c r="H220" s="40"/>
    </row>
    <row r="221" customFormat="false" ht="15" hidden="false" customHeight="false" outlineLevel="0" collapsed="false">
      <c r="H221" s="40"/>
    </row>
    <row r="222" customFormat="false" ht="15" hidden="false" customHeight="false" outlineLevel="0" collapsed="false">
      <c r="H222" s="40"/>
    </row>
    <row r="223" customFormat="false" ht="15" hidden="false" customHeight="false" outlineLevel="0" collapsed="false">
      <c r="H223" s="40"/>
    </row>
    <row r="224" customFormat="false" ht="15" hidden="false" customHeight="false" outlineLevel="0" collapsed="false">
      <c r="H224" s="40"/>
    </row>
    <row r="225" customFormat="false" ht="15" hidden="false" customHeight="false" outlineLevel="0" collapsed="false">
      <c r="H225" s="40"/>
    </row>
    <row r="226" customFormat="false" ht="15" hidden="false" customHeight="false" outlineLevel="0" collapsed="false">
      <c r="H226" s="40"/>
    </row>
    <row r="227" customFormat="false" ht="15" hidden="false" customHeight="false" outlineLevel="0" collapsed="false">
      <c r="H227" s="40"/>
    </row>
    <row r="228" customFormat="false" ht="15" hidden="false" customHeight="false" outlineLevel="0" collapsed="false">
      <c r="H228" s="40"/>
    </row>
    <row r="229" customFormat="false" ht="15" hidden="false" customHeight="false" outlineLevel="0" collapsed="false">
      <c r="H229" s="40"/>
    </row>
    <row r="230" customFormat="false" ht="15" hidden="false" customHeight="false" outlineLevel="0" collapsed="false">
      <c r="H230" s="40"/>
    </row>
    <row r="231" customFormat="false" ht="15" hidden="false" customHeight="false" outlineLevel="0" collapsed="false">
      <c r="H231" s="40"/>
    </row>
    <row r="232" customFormat="false" ht="15" hidden="false" customHeight="false" outlineLevel="0" collapsed="false">
      <c r="H232" s="40"/>
    </row>
    <row r="233" customFormat="false" ht="15" hidden="false" customHeight="false" outlineLevel="0" collapsed="false">
      <c r="H233" s="40"/>
    </row>
    <row r="234" customFormat="false" ht="15" hidden="false" customHeight="false" outlineLevel="0" collapsed="false">
      <c r="H234" s="40"/>
    </row>
    <row r="235" customFormat="false" ht="15" hidden="false" customHeight="false" outlineLevel="0" collapsed="false">
      <c r="H235" s="40"/>
    </row>
    <row r="236" customFormat="false" ht="15" hidden="false" customHeight="false" outlineLevel="0" collapsed="false">
      <c r="H236" s="40"/>
    </row>
    <row r="237" customFormat="false" ht="15" hidden="false" customHeight="false" outlineLevel="0" collapsed="false">
      <c r="H237" s="40"/>
    </row>
    <row r="238" customFormat="false" ht="15" hidden="false" customHeight="false" outlineLevel="0" collapsed="false">
      <c r="H238" s="40"/>
    </row>
    <row r="239" customFormat="false" ht="15" hidden="false" customHeight="false" outlineLevel="0" collapsed="false">
      <c r="H239" s="40"/>
    </row>
    <row r="240" customFormat="false" ht="15" hidden="false" customHeight="false" outlineLevel="0" collapsed="false">
      <c r="H240" s="40"/>
    </row>
    <row r="241" customFormat="false" ht="15" hidden="false" customHeight="false" outlineLevel="0" collapsed="false">
      <c r="H241" s="40"/>
    </row>
    <row r="242" customFormat="false" ht="15" hidden="false" customHeight="false" outlineLevel="0" collapsed="false">
      <c r="H242" s="40"/>
    </row>
    <row r="243" customFormat="false" ht="15" hidden="false" customHeight="false" outlineLevel="0" collapsed="false">
      <c r="H243" s="40"/>
    </row>
    <row r="244" customFormat="false" ht="15" hidden="false" customHeight="false" outlineLevel="0" collapsed="false">
      <c r="H244" s="40"/>
    </row>
    <row r="245" customFormat="false" ht="15" hidden="false" customHeight="false" outlineLevel="0" collapsed="false">
      <c r="H245" s="40"/>
    </row>
    <row r="246" customFormat="false" ht="15" hidden="false" customHeight="false" outlineLevel="0" collapsed="false">
      <c r="H246" s="40"/>
    </row>
    <row r="247" customFormat="false" ht="15" hidden="false" customHeight="false" outlineLevel="0" collapsed="false">
      <c r="H247" s="40"/>
    </row>
    <row r="248" customFormat="false" ht="15" hidden="false" customHeight="false" outlineLevel="0" collapsed="false">
      <c r="H248" s="40"/>
    </row>
    <row r="249" customFormat="false" ht="15" hidden="false" customHeight="false" outlineLevel="0" collapsed="false">
      <c r="H249" s="40"/>
    </row>
    <row r="250" customFormat="false" ht="15" hidden="false" customHeight="false" outlineLevel="0" collapsed="false">
      <c r="H250" s="40"/>
    </row>
    <row r="251" customFormat="false" ht="15" hidden="false" customHeight="false" outlineLevel="0" collapsed="false">
      <c r="H251" s="40"/>
    </row>
    <row r="252" customFormat="false" ht="15" hidden="false" customHeight="false" outlineLevel="0" collapsed="false">
      <c r="H252" s="40"/>
    </row>
    <row r="253" customFormat="false" ht="15" hidden="false" customHeight="false" outlineLevel="0" collapsed="false">
      <c r="H253" s="40"/>
    </row>
    <row r="254" customFormat="false" ht="15" hidden="false" customHeight="false" outlineLevel="0" collapsed="false">
      <c r="H254" s="40"/>
    </row>
    <row r="255" customFormat="false" ht="15" hidden="false" customHeight="false" outlineLevel="0" collapsed="false">
      <c r="H255" s="40"/>
    </row>
    <row r="256" customFormat="false" ht="15" hidden="false" customHeight="false" outlineLevel="0" collapsed="false">
      <c r="H256" s="40"/>
    </row>
    <row r="257" customFormat="false" ht="15" hidden="false" customHeight="false" outlineLevel="0" collapsed="false">
      <c r="H257" s="40"/>
    </row>
    <row r="258" customFormat="false" ht="15" hidden="false" customHeight="false" outlineLevel="0" collapsed="false">
      <c r="H258" s="40"/>
    </row>
    <row r="259" customFormat="false" ht="15" hidden="false" customHeight="false" outlineLevel="0" collapsed="false">
      <c r="H259" s="40"/>
    </row>
    <row r="260" customFormat="false" ht="15" hidden="false" customHeight="false" outlineLevel="0" collapsed="false">
      <c r="H260" s="40"/>
    </row>
    <row r="261" customFormat="false" ht="15" hidden="false" customHeight="false" outlineLevel="0" collapsed="false">
      <c r="H261" s="40"/>
    </row>
    <row r="262" customFormat="false" ht="15" hidden="false" customHeight="false" outlineLevel="0" collapsed="false">
      <c r="H262" s="40"/>
    </row>
    <row r="263" customFormat="false" ht="15" hidden="false" customHeight="false" outlineLevel="0" collapsed="false">
      <c r="H263" s="40"/>
    </row>
    <row r="264" customFormat="false" ht="15" hidden="false" customHeight="false" outlineLevel="0" collapsed="false">
      <c r="H264" s="40"/>
    </row>
    <row r="265" customFormat="false" ht="15" hidden="false" customHeight="false" outlineLevel="0" collapsed="false">
      <c r="H265" s="40"/>
    </row>
    <row r="266" customFormat="false" ht="15" hidden="false" customHeight="false" outlineLevel="0" collapsed="false">
      <c r="H266" s="40"/>
    </row>
    <row r="267" customFormat="false" ht="15" hidden="false" customHeight="false" outlineLevel="0" collapsed="false">
      <c r="H267" s="40"/>
    </row>
    <row r="268" customFormat="false" ht="15" hidden="false" customHeight="false" outlineLevel="0" collapsed="false">
      <c r="H268" s="40"/>
    </row>
    <row r="269" customFormat="false" ht="15" hidden="false" customHeight="false" outlineLevel="0" collapsed="false">
      <c r="H269" s="40"/>
    </row>
    <row r="270" customFormat="false" ht="15" hidden="false" customHeight="false" outlineLevel="0" collapsed="false">
      <c r="H270" s="40"/>
    </row>
    <row r="271" customFormat="false" ht="15" hidden="false" customHeight="false" outlineLevel="0" collapsed="false">
      <c r="H271" s="40"/>
    </row>
    <row r="272" customFormat="false" ht="15" hidden="false" customHeight="false" outlineLevel="0" collapsed="false">
      <c r="H272" s="40"/>
    </row>
    <row r="273" customFormat="false" ht="15" hidden="false" customHeight="false" outlineLevel="0" collapsed="false">
      <c r="H273" s="40"/>
    </row>
    <row r="274" customFormat="false" ht="15" hidden="false" customHeight="false" outlineLevel="0" collapsed="false">
      <c r="H274" s="40"/>
    </row>
    <row r="275" customFormat="false" ht="15" hidden="false" customHeight="false" outlineLevel="0" collapsed="false">
      <c r="H275" s="40"/>
    </row>
    <row r="276" customFormat="false" ht="15" hidden="false" customHeight="false" outlineLevel="0" collapsed="false">
      <c r="H276" s="40"/>
    </row>
    <row r="277" customFormat="false" ht="15" hidden="false" customHeight="false" outlineLevel="0" collapsed="false">
      <c r="H277" s="40"/>
    </row>
    <row r="278" customFormat="false" ht="15" hidden="false" customHeight="false" outlineLevel="0" collapsed="false">
      <c r="H278" s="40"/>
    </row>
    <row r="279" customFormat="false" ht="15" hidden="false" customHeight="false" outlineLevel="0" collapsed="false">
      <c r="H279" s="40"/>
    </row>
    <row r="280" customFormat="false" ht="15" hidden="false" customHeight="false" outlineLevel="0" collapsed="false">
      <c r="H280" s="40"/>
    </row>
    <row r="281" customFormat="false" ht="15" hidden="false" customHeight="false" outlineLevel="0" collapsed="false">
      <c r="H281" s="40"/>
    </row>
    <row r="282" customFormat="false" ht="15" hidden="false" customHeight="false" outlineLevel="0" collapsed="false">
      <c r="H282" s="40"/>
    </row>
    <row r="283" customFormat="false" ht="15" hidden="false" customHeight="false" outlineLevel="0" collapsed="false">
      <c r="H283" s="40"/>
    </row>
    <row r="284" customFormat="false" ht="15" hidden="false" customHeight="false" outlineLevel="0" collapsed="false">
      <c r="H284" s="40"/>
    </row>
    <row r="285" customFormat="false" ht="15" hidden="false" customHeight="false" outlineLevel="0" collapsed="false">
      <c r="H285" s="40"/>
    </row>
    <row r="286" customFormat="false" ht="15" hidden="false" customHeight="false" outlineLevel="0" collapsed="false">
      <c r="H286" s="40"/>
    </row>
    <row r="287" customFormat="false" ht="15" hidden="false" customHeight="false" outlineLevel="0" collapsed="false">
      <c r="H287" s="40"/>
    </row>
    <row r="288" customFormat="false" ht="15" hidden="false" customHeight="false" outlineLevel="0" collapsed="false">
      <c r="H288" s="40"/>
    </row>
    <row r="289" customFormat="false" ht="15" hidden="false" customHeight="false" outlineLevel="0" collapsed="false">
      <c r="H289" s="40"/>
    </row>
    <row r="290" customFormat="false" ht="15" hidden="false" customHeight="false" outlineLevel="0" collapsed="false">
      <c r="H290" s="40"/>
    </row>
    <row r="291" customFormat="false" ht="15" hidden="false" customHeight="false" outlineLevel="0" collapsed="false">
      <c r="H291" s="40"/>
    </row>
    <row r="292" customFormat="false" ht="15" hidden="false" customHeight="false" outlineLevel="0" collapsed="false">
      <c r="H292" s="40"/>
    </row>
    <row r="293" customFormat="false" ht="15" hidden="false" customHeight="false" outlineLevel="0" collapsed="false">
      <c r="H293" s="40"/>
    </row>
    <row r="294" customFormat="false" ht="15" hidden="false" customHeight="false" outlineLevel="0" collapsed="false">
      <c r="H294" s="40"/>
    </row>
    <row r="295" customFormat="false" ht="15" hidden="false" customHeight="false" outlineLevel="0" collapsed="false">
      <c r="H295" s="40"/>
    </row>
    <row r="296" customFormat="false" ht="15" hidden="false" customHeight="false" outlineLevel="0" collapsed="false">
      <c r="H296" s="40"/>
    </row>
    <row r="297" customFormat="false" ht="15" hidden="false" customHeight="false" outlineLevel="0" collapsed="false">
      <c r="H297" s="40"/>
    </row>
    <row r="298" customFormat="false" ht="15" hidden="false" customHeight="false" outlineLevel="0" collapsed="false">
      <c r="H298" s="40"/>
    </row>
    <row r="299" customFormat="false" ht="15" hidden="false" customHeight="false" outlineLevel="0" collapsed="false">
      <c r="H299" s="40"/>
    </row>
    <row r="300" customFormat="false" ht="15" hidden="false" customHeight="false" outlineLevel="0" collapsed="false">
      <c r="H300" s="40"/>
    </row>
    <row r="301" customFormat="false" ht="15" hidden="false" customHeight="false" outlineLevel="0" collapsed="false">
      <c r="H301" s="40"/>
    </row>
    <row r="302" customFormat="false" ht="15" hidden="false" customHeight="false" outlineLevel="0" collapsed="false">
      <c r="H302" s="40"/>
    </row>
    <row r="303" customFormat="false" ht="15" hidden="false" customHeight="false" outlineLevel="0" collapsed="false">
      <c r="H303" s="40"/>
    </row>
    <row r="304" customFormat="false" ht="15" hidden="false" customHeight="false" outlineLevel="0" collapsed="false">
      <c r="H304" s="40"/>
    </row>
    <row r="305" customFormat="false" ht="15" hidden="false" customHeight="false" outlineLevel="0" collapsed="false">
      <c r="H305" s="40"/>
    </row>
    <row r="306" customFormat="false" ht="15" hidden="false" customHeight="false" outlineLevel="0" collapsed="false">
      <c r="H306" s="40"/>
    </row>
    <row r="307" customFormat="false" ht="15" hidden="false" customHeight="false" outlineLevel="0" collapsed="false">
      <c r="H307" s="40"/>
    </row>
    <row r="308" customFormat="false" ht="15" hidden="false" customHeight="false" outlineLevel="0" collapsed="false">
      <c r="H308" s="40"/>
    </row>
    <row r="309" customFormat="false" ht="15" hidden="false" customHeight="false" outlineLevel="0" collapsed="false">
      <c r="H309" s="40"/>
    </row>
    <row r="310" customFormat="false" ht="15" hidden="false" customHeight="false" outlineLevel="0" collapsed="false">
      <c r="H310" s="40"/>
    </row>
    <row r="311" customFormat="false" ht="15" hidden="false" customHeight="false" outlineLevel="0" collapsed="false">
      <c r="H311" s="40"/>
    </row>
    <row r="312" customFormat="false" ht="15" hidden="false" customHeight="false" outlineLevel="0" collapsed="false">
      <c r="H312" s="40"/>
    </row>
    <row r="313" customFormat="false" ht="15" hidden="false" customHeight="false" outlineLevel="0" collapsed="false">
      <c r="H313" s="40"/>
    </row>
    <row r="314" customFormat="false" ht="15" hidden="false" customHeight="false" outlineLevel="0" collapsed="false">
      <c r="H314" s="40"/>
    </row>
    <row r="315" customFormat="false" ht="15" hidden="false" customHeight="false" outlineLevel="0" collapsed="false">
      <c r="H315" s="40"/>
    </row>
    <row r="316" customFormat="false" ht="15" hidden="false" customHeight="false" outlineLevel="0" collapsed="false">
      <c r="H316" s="40"/>
    </row>
    <row r="317" customFormat="false" ht="15" hidden="false" customHeight="false" outlineLevel="0" collapsed="false">
      <c r="H317" s="40"/>
    </row>
    <row r="318" customFormat="false" ht="15" hidden="false" customHeight="false" outlineLevel="0" collapsed="false">
      <c r="H318" s="40"/>
    </row>
    <row r="319" customFormat="false" ht="15" hidden="false" customHeight="false" outlineLevel="0" collapsed="false">
      <c r="H319" s="40"/>
    </row>
    <row r="320" customFormat="false" ht="15" hidden="false" customHeight="false" outlineLevel="0" collapsed="false">
      <c r="H320" s="40"/>
    </row>
    <row r="321" customFormat="false" ht="15" hidden="false" customHeight="false" outlineLevel="0" collapsed="false">
      <c r="H321" s="40"/>
    </row>
    <row r="322" customFormat="false" ht="15" hidden="false" customHeight="false" outlineLevel="0" collapsed="false">
      <c r="H322" s="40"/>
    </row>
    <row r="323" customFormat="false" ht="15" hidden="false" customHeight="false" outlineLevel="0" collapsed="false">
      <c r="H323" s="40"/>
    </row>
    <row r="324" customFormat="false" ht="15" hidden="false" customHeight="false" outlineLevel="0" collapsed="false">
      <c r="H324" s="40"/>
    </row>
    <row r="325" customFormat="false" ht="15" hidden="false" customHeight="false" outlineLevel="0" collapsed="false">
      <c r="H325" s="40"/>
    </row>
    <row r="326" customFormat="false" ht="15" hidden="false" customHeight="false" outlineLevel="0" collapsed="false">
      <c r="H326" s="40"/>
    </row>
    <row r="327" customFormat="false" ht="15" hidden="false" customHeight="false" outlineLevel="0" collapsed="false">
      <c r="H327" s="40"/>
    </row>
    <row r="328" customFormat="false" ht="15" hidden="false" customHeight="false" outlineLevel="0" collapsed="false">
      <c r="H328" s="40"/>
    </row>
    <row r="329" customFormat="false" ht="15" hidden="false" customHeight="false" outlineLevel="0" collapsed="false">
      <c r="H329" s="40"/>
    </row>
    <row r="330" customFormat="false" ht="15" hidden="false" customHeight="false" outlineLevel="0" collapsed="false">
      <c r="H330" s="40"/>
    </row>
    <row r="331" customFormat="false" ht="15" hidden="false" customHeight="false" outlineLevel="0" collapsed="false">
      <c r="H331" s="40"/>
    </row>
    <row r="332" customFormat="false" ht="15" hidden="false" customHeight="false" outlineLevel="0" collapsed="false">
      <c r="H332" s="40"/>
    </row>
    <row r="333" customFormat="false" ht="15" hidden="false" customHeight="false" outlineLevel="0" collapsed="false">
      <c r="H333" s="40"/>
    </row>
    <row r="334" customFormat="false" ht="15" hidden="false" customHeight="false" outlineLevel="0" collapsed="false">
      <c r="H334" s="40"/>
    </row>
    <row r="335" customFormat="false" ht="15" hidden="false" customHeight="false" outlineLevel="0" collapsed="false">
      <c r="H335" s="40"/>
    </row>
    <row r="336" customFormat="false" ht="15" hidden="false" customHeight="false" outlineLevel="0" collapsed="false">
      <c r="H336" s="40"/>
    </row>
    <row r="337" customFormat="false" ht="15" hidden="false" customHeight="false" outlineLevel="0" collapsed="false">
      <c r="H337" s="40"/>
    </row>
    <row r="338" customFormat="false" ht="15" hidden="false" customHeight="false" outlineLevel="0" collapsed="false">
      <c r="H338" s="40"/>
    </row>
    <row r="339" customFormat="false" ht="15" hidden="false" customHeight="false" outlineLevel="0" collapsed="false">
      <c r="H339" s="40"/>
    </row>
    <row r="340" customFormat="false" ht="15" hidden="false" customHeight="false" outlineLevel="0" collapsed="false">
      <c r="H340" s="40"/>
    </row>
    <row r="341" customFormat="false" ht="15" hidden="false" customHeight="false" outlineLevel="0" collapsed="false">
      <c r="H341" s="40"/>
    </row>
    <row r="342" customFormat="false" ht="15" hidden="false" customHeight="false" outlineLevel="0" collapsed="false">
      <c r="H342" s="40"/>
    </row>
    <row r="343" customFormat="false" ht="15" hidden="false" customHeight="false" outlineLevel="0" collapsed="false">
      <c r="H343" s="40"/>
    </row>
    <row r="344" customFormat="false" ht="15" hidden="false" customHeight="false" outlineLevel="0" collapsed="false">
      <c r="H344" s="40"/>
    </row>
    <row r="345" customFormat="false" ht="15" hidden="false" customHeight="false" outlineLevel="0" collapsed="false">
      <c r="H345" s="40"/>
    </row>
    <row r="346" customFormat="false" ht="15" hidden="false" customHeight="false" outlineLevel="0" collapsed="false">
      <c r="H346" s="40"/>
    </row>
    <row r="347" customFormat="false" ht="15" hidden="false" customHeight="false" outlineLevel="0" collapsed="false">
      <c r="H347" s="40"/>
    </row>
    <row r="348" customFormat="false" ht="15" hidden="false" customHeight="false" outlineLevel="0" collapsed="false">
      <c r="H348" s="40"/>
    </row>
    <row r="349" customFormat="false" ht="15" hidden="false" customHeight="false" outlineLevel="0" collapsed="false">
      <c r="H349" s="40"/>
    </row>
    <row r="350" customFormat="false" ht="15" hidden="false" customHeight="false" outlineLevel="0" collapsed="false">
      <c r="H350" s="40"/>
    </row>
    <row r="351" customFormat="false" ht="15" hidden="false" customHeight="false" outlineLevel="0" collapsed="false">
      <c r="H351" s="40"/>
    </row>
    <row r="352" customFormat="false" ht="15" hidden="false" customHeight="false" outlineLevel="0" collapsed="false">
      <c r="H352" s="40"/>
    </row>
    <row r="353" customFormat="false" ht="15" hidden="false" customHeight="false" outlineLevel="0" collapsed="false">
      <c r="H353" s="40"/>
    </row>
    <row r="354" customFormat="false" ht="15" hidden="false" customHeight="false" outlineLevel="0" collapsed="false">
      <c r="H354" s="40"/>
    </row>
    <row r="355" customFormat="false" ht="15" hidden="false" customHeight="false" outlineLevel="0" collapsed="false">
      <c r="H355" s="40"/>
    </row>
    <row r="356" customFormat="false" ht="15" hidden="false" customHeight="false" outlineLevel="0" collapsed="false">
      <c r="H356" s="40"/>
    </row>
    <row r="357" customFormat="false" ht="15" hidden="false" customHeight="false" outlineLevel="0" collapsed="false">
      <c r="H357" s="40"/>
    </row>
    <row r="358" customFormat="false" ht="15" hidden="false" customHeight="false" outlineLevel="0" collapsed="false">
      <c r="H358" s="40"/>
    </row>
    <row r="359" customFormat="false" ht="15" hidden="false" customHeight="false" outlineLevel="0" collapsed="false">
      <c r="H359" s="40"/>
    </row>
    <row r="360" customFormat="false" ht="15" hidden="false" customHeight="false" outlineLevel="0" collapsed="false">
      <c r="H360" s="40"/>
    </row>
    <row r="361" customFormat="false" ht="15" hidden="false" customHeight="false" outlineLevel="0" collapsed="false">
      <c r="H361" s="40"/>
    </row>
    <row r="362" customFormat="false" ht="15" hidden="false" customHeight="false" outlineLevel="0" collapsed="false">
      <c r="H362" s="40"/>
    </row>
    <row r="363" customFormat="false" ht="15" hidden="false" customHeight="false" outlineLevel="0" collapsed="false">
      <c r="H363" s="40"/>
    </row>
    <row r="364" customFormat="false" ht="15" hidden="false" customHeight="false" outlineLevel="0" collapsed="false">
      <c r="H364" s="40"/>
    </row>
    <row r="365" customFormat="false" ht="15" hidden="false" customHeight="false" outlineLevel="0" collapsed="false">
      <c r="H365" s="40"/>
    </row>
    <row r="366" customFormat="false" ht="15" hidden="false" customHeight="false" outlineLevel="0" collapsed="false">
      <c r="H366" s="40"/>
    </row>
    <row r="367" customFormat="false" ht="15" hidden="false" customHeight="false" outlineLevel="0" collapsed="false">
      <c r="H367" s="40"/>
    </row>
    <row r="368" customFormat="false" ht="15" hidden="false" customHeight="false" outlineLevel="0" collapsed="false">
      <c r="H368" s="40"/>
    </row>
    <row r="369" customFormat="false" ht="15" hidden="false" customHeight="false" outlineLevel="0" collapsed="false">
      <c r="H369" s="40"/>
    </row>
    <row r="370" customFormat="false" ht="15" hidden="false" customHeight="false" outlineLevel="0" collapsed="false">
      <c r="H370" s="40"/>
    </row>
    <row r="371" customFormat="false" ht="15" hidden="false" customHeight="false" outlineLevel="0" collapsed="false">
      <c r="H371" s="40"/>
    </row>
    <row r="372" customFormat="false" ht="15" hidden="false" customHeight="false" outlineLevel="0" collapsed="false">
      <c r="H372" s="40"/>
    </row>
    <row r="373" customFormat="false" ht="15" hidden="false" customHeight="false" outlineLevel="0" collapsed="false">
      <c r="H373" s="40"/>
    </row>
    <row r="374" customFormat="false" ht="15" hidden="false" customHeight="false" outlineLevel="0" collapsed="false">
      <c r="H374" s="40"/>
    </row>
    <row r="375" customFormat="false" ht="15" hidden="false" customHeight="false" outlineLevel="0" collapsed="false">
      <c r="H375" s="40"/>
    </row>
    <row r="376" customFormat="false" ht="15" hidden="false" customHeight="false" outlineLevel="0" collapsed="false">
      <c r="H376" s="40"/>
    </row>
    <row r="377" customFormat="false" ht="15" hidden="false" customHeight="false" outlineLevel="0" collapsed="false">
      <c r="H377" s="40"/>
    </row>
    <row r="378" customFormat="false" ht="15" hidden="false" customHeight="false" outlineLevel="0" collapsed="false">
      <c r="H378" s="40"/>
    </row>
    <row r="379" customFormat="false" ht="15" hidden="false" customHeight="false" outlineLevel="0" collapsed="false">
      <c r="H379" s="40"/>
    </row>
    <row r="380" customFormat="false" ht="15" hidden="false" customHeight="false" outlineLevel="0" collapsed="false">
      <c r="H380" s="40"/>
    </row>
    <row r="381" customFormat="false" ht="15" hidden="false" customHeight="false" outlineLevel="0" collapsed="false">
      <c r="H381" s="40"/>
    </row>
    <row r="382" customFormat="false" ht="15" hidden="false" customHeight="false" outlineLevel="0" collapsed="false">
      <c r="H382" s="40"/>
    </row>
    <row r="383" customFormat="false" ht="15" hidden="false" customHeight="false" outlineLevel="0" collapsed="false">
      <c r="H383" s="40"/>
    </row>
    <row r="384" customFormat="false" ht="15" hidden="false" customHeight="false" outlineLevel="0" collapsed="false">
      <c r="H384" s="40"/>
    </row>
    <row r="385" customFormat="false" ht="15" hidden="false" customHeight="false" outlineLevel="0" collapsed="false">
      <c r="H385" s="40"/>
    </row>
    <row r="386" customFormat="false" ht="15" hidden="false" customHeight="false" outlineLevel="0" collapsed="false">
      <c r="H386" s="40"/>
    </row>
    <row r="387" customFormat="false" ht="15" hidden="false" customHeight="false" outlineLevel="0" collapsed="false">
      <c r="H387" s="40"/>
    </row>
    <row r="388" customFormat="false" ht="15" hidden="false" customHeight="false" outlineLevel="0" collapsed="false">
      <c r="H388" s="40"/>
    </row>
    <row r="389" customFormat="false" ht="15" hidden="false" customHeight="false" outlineLevel="0" collapsed="false">
      <c r="H389" s="40"/>
    </row>
    <row r="390" customFormat="false" ht="15" hidden="false" customHeight="false" outlineLevel="0" collapsed="false">
      <c r="H390" s="40"/>
    </row>
    <row r="391" customFormat="false" ht="15" hidden="false" customHeight="false" outlineLevel="0" collapsed="false">
      <c r="H391" s="40"/>
    </row>
    <row r="392" customFormat="false" ht="15" hidden="false" customHeight="false" outlineLevel="0" collapsed="false">
      <c r="H392" s="40"/>
    </row>
    <row r="393" customFormat="false" ht="15" hidden="false" customHeight="false" outlineLevel="0" collapsed="false">
      <c r="H393" s="40"/>
    </row>
    <row r="394" customFormat="false" ht="15" hidden="false" customHeight="false" outlineLevel="0" collapsed="false">
      <c r="H394" s="40"/>
    </row>
    <row r="395" customFormat="false" ht="15" hidden="false" customHeight="false" outlineLevel="0" collapsed="false">
      <c r="H395" s="40"/>
    </row>
    <row r="396" customFormat="false" ht="15" hidden="false" customHeight="false" outlineLevel="0" collapsed="false">
      <c r="H396" s="40"/>
    </row>
    <row r="397" customFormat="false" ht="15" hidden="false" customHeight="false" outlineLevel="0" collapsed="false">
      <c r="H397" s="40"/>
    </row>
    <row r="398" customFormat="false" ht="15" hidden="false" customHeight="false" outlineLevel="0" collapsed="false">
      <c r="H398" s="40"/>
    </row>
    <row r="399" customFormat="false" ht="15" hidden="false" customHeight="false" outlineLevel="0" collapsed="false">
      <c r="H399" s="40"/>
    </row>
    <row r="400" customFormat="false" ht="15" hidden="false" customHeight="false" outlineLevel="0" collapsed="false">
      <c r="H400" s="40"/>
    </row>
    <row r="401" customFormat="false" ht="15" hidden="false" customHeight="false" outlineLevel="0" collapsed="false">
      <c r="H401" s="40"/>
    </row>
    <row r="402" customFormat="false" ht="15" hidden="false" customHeight="false" outlineLevel="0" collapsed="false">
      <c r="H402" s="40"/>
    </row>
    <row r="403" customFormat="false" ht="15" hidden="false" customHeight="false" outlineLevel="0" collapsed="false">
      <c r="H403" s="40"/>
    </row>
    <row r="404" customFormat="false" ht="15" hidden="false" customHeight="false" outlineLevel="0" collapsed="false">
      <c r="H404" s="40"/>
    </row>
    <row r="405" customFormat="false" ht="15" hidden="false" customHeight="false" outlineLevel="0" collapsed="false">
      <c r="H405" s="40"/>
    </row>
    <row r="406" customFormat="false" ht="15" hidden="false" customHeight="false" outlineLevel="0" collapsed="false">
      <c r="H406" s="40"/>
    </row>
    <row r="407" customFormat="false" ht="15" hidden="false" customHeight="false" outlineLevel="0" collapsed="false">
      <c r="H407" s="40"/>
    </row>
    <row r="408" customFormat="false" ht="15" hidden="false" customHeight="false" outlineLevel="0" collapsed="false">
      <c r="H408" s="40"/>
    </row>
    <row r="409" customFormat="false" ht="15" hidden="false" customHeight="false" outlineLevel="0" collapsed="false">
      <c r="H409" s="40"/>
    </row>
    <row r="410" customFormat="false" ht="15" hidden="false" customHeight="false" outlineLevel="0" collapsed="false">
      <c r="H410" s="40"/>
    </row>
    <row r="411" customFormat="false" ht="15" hidden="false" customHeight="false" outlineLevel="0" collapsed="false">
      <c r="H411" s="40"/>
    </row>
    <row r="412" customFormat="false" ht="15" hidden="false" customHeight="false" outlineLevel="0" collapsed="false">
      <c r="H412" s="40"/>
    </row>
    <row r="413" customFormat="false" ht="15" hidden="false" customHeight="false" outlineLevel="0" collapsed="false">
      <c r="H413" s="40"/>
    </row>
    <row r="414" customFormat="false" ht="15" hidden="false" customHeight="false" outlineLevel="0" collapsed="false">
      <c r="H414" s="40"/>
    </row>
    <row r="415" customFormat="false" ht="15" hidden="false" customHeight="false" outlineLevel="0" collapsed="false">
      <c r="H415" s="40"/>
    </row>
    <row r="416" customFormat="false" ht="15" hidden="false" customHeight="false" outlineLevel="0" collapsed="false">
      <c r="H416" s="40"/>
    </row>
    <row r="417" customFormat="false" ht="15" hidden="false" customHeight="false" outlineLevel="0" collapsed="false">
      <c r="H417" s="40"/>
    </row>
    <row r="418" customFormat="false" ht="15" hidden="false" customHeight="false" outlineLevel="0" collapsed="false">
      <c r="H418" s="40"/>
    </row>
    <row r="419" customFormat="false" ht="15" hidden="false" customHeight="false" outlineLevel="0" collapsed="false">
      <c r="H419" s="40"/>
    </row>
    <row r="420" customFormat="false" ht="15" hidden="false" customHeight="false" outlineLevel="0" collapsed="false">
      <c r="H420" s="40"/>
    </row>
    <row r="421" customFormat="false" ht="15" hidden="false" customHeight="false" outlineLevel="0" collapsed="false">
      <c r="H421" s="40"/>
    </row>
    <row r="422" customFormat="false" ht="15" hidden="false" customHeight="false" outlineLevel="0" collapsed="false">
      <c r="H422" s="40"/>
    </row>
    <row r="423" customFormat="false" ht="15" hidden="false" customHeight="false" outlineLevel="0" collapsed="false">
      <c r="H423" s="40"/>
    </row>
    <row r="424" customFormat="false" ht="15" hidden="false" customHeight="false" outlineLevel="0" collapsed="false">
      <c r="H424" s="40"/>
    </row>
    <row r="425" customFormat="false" ht="15" hidden="false" customHeight="false" outlineLevel="0" collapsed="false">
      <c r="H425" s="40"/>
    </row>
    <row r="426" customFormat="false" ht="15" hidden="false" customHeight="false" outlineLevel="0" collapsed="false">
      <c r="H426" s="40"/>
    </row>
    <row r="427" customFormat="false" ht="15" hidden="false" customHeight="false" outlineLevel="0" collapsed="false">
      <c r="H427" s="40"/>
    </row>
    <row r="428" customFormat="false" ht="15" hidden="false" customHeight="false" outlineLevel="0" collapsed="false">
      <c r="H428" s="40"/>
    </row>
    <row r="429" customFormat="false" ht="15" hidden="false" customHeight="false" outlineLevel="0" collapsed="false">
      <c r="H429" s="40"/>
    </row>
    <row r="430" customFormat="false" ht="15" hidden="false" customHeight="false" outlineLevel="0" collapsed="false">
      <c r="H430" s="40"/>
    </row>
    <row r="431" customFormat="false" ht="15" hidden="false" customHeight="false" outlineLevel="0" collapsed="false">
      <c r="H431" s="40"/>
    </row>
    <row r="432" customFormat="false" ht="15" hidden="false" customHeight="false" outlineLevel="0" collapsed="false">
      <c r="H432" s="40"/>
    </row>
    <row r="433" customFormat="false" ht="15" hidden="false" customHeight="false" outlineLevel="0" collapsed="false">
      <c r="H433" s="40"/>
    </row>
    <row r="434" customFormat="false" ht="15" hidden="false" customHeight="false" outlineLevel="0" collapsed="false">
      <c r="H434" s="40"/>
    </row>
    <row r="435" customFormat="false" ht="15" hidden="false" customHeight="false" outlineLevel="0" collapsed="false">
      <c r="H435" s="40"/>
    </row>
    <row r="436" customFormat="false" ht="15" hidden="false" customHeight="false" outlineLevel="0" collapsed="false">
      <c r="H436" s="40"/>
    </row>
    <row r="437" customFormat="false" ht="15" hidden="false" customHeight="false" outlineLevel="0" collapsed="false">
      <c r="H437" s="40"/>
    </row>
    <row r="438" customFormat="false" ht="15" hidden="false" customHeight="false" outlineLevel="0" collapsed="false">
      <c r="H438" s="40"/>
    </row>
    <row r="439" customFormat="false" ht="15" hidden="false" customHeight="false" outlineLevel="0" collapsed="false">
      <c r="H439" s="40"/>
    </row>
    <row r="440" customFormat="false" ht="15" hidden="false" customHeight="false" outlineLevel="0" collapsed="false">
      <c r="H440" s="40"/>
    </row>
    <row r="441" customFormat="false" ht="15" hidden="false" customHeight="false" outlineLevel="0" collapsed="false">
      <c r="H441" s="40"/>
    </row>
    <row r="442" customFormat="false" ht="15" hidden="false" customHeight="false" outlineLevel="0" collapsed="false">
      <c r="H442" s="40"/>
    </row>
    <row r="443" customFormat="false" ht="15" hidden="false" customHeight="false" outlineLevel="0" collapsed="false">
      <c r="H443" s="40"/>
    </row>
    <row r="444" customFormat="false" ht="15" hidden="false" customHeight="false" outlineLevel="0" collapsed="false">
      <c r="H444" s="40"/>
    </row>
    <row r="445" customFormat="false" ht="15" hidden="false" customHeight="false" outlineLevel="0" collapsed="false">
      <c r="H445" s="40"/>
    </row>
    <row r="446" customFormat="false" ht="15" hidden="false" customHeight="false" outlineLevel="0" collapsed="false">
      <c r="H446" s="40"/>
    </row>
    <row r="447" customFormat="false" ht="15" hidden="false" customHeight="false" outlineLevel="0" collapsed="false">
      <c r="H447" s="40"/>
    </row>
    <row r="448" customFormat="false" ht="15" hidden="false" customHeight="false" outlineLevel="0" collapsed="false">
      <c r="H448" s="40"/>
    </row>
    <row r="449" customFormat="false" ht="15" hidden="false" customHeight="false" outlineLevel="0" collapsed="false">
      <c r="H449" s="40"/>
    </row>
    <row r="450" customFormat="false" ht="15" hidden="false" customHeight="false" outlineLevel="0" collapsed="false">
      <c r="H450" s="40"/>
    </row>
    <row r="451" customFormat="false" ht="15" hidden="false" customHeight="false" outlineLevel="0" collapsed="false">
      <c r="H451" s="40"/>
    </row>
    <row r="452" customFormat="false" ht="15" hidden="false" customHeight="false" outlineLevel="0" collapsed="false">
      <c r="H452" s="40"/>
    </row>
    <row r="453" customFormat="false" ht="15" hidden="false" customHeight="false" outlineLevel="0" collapsed="false">
      <c r="H453" s="40"/>
    </row>
    <row r="454" customFormat="false" ht="15" hidden="false" customHeight="false" outlineLevel="0" collapsed="false">
      <c r="H454" s="40"/>
    </row>
    <row r="455" customFormat="false" ht="15" hidden="false" customHeight="false" outlineLevel="0" collapsed="false">
      <c r="H455" s="40"/>
    </row>
    <row r="456" customFormat="false" ht="15" hidden="false" customHeight="false" outlineLevel="0" collapsed="false">
      <c r="H456" s="40"/>
    </row>
    <row r="457" customFormat="false" ht="15" hidden="false" customHeight="false" outlineLevel="0" collapsed="false">
      <c r="H457" s="40"/>
    </row>
    <row r="458" customFormat="false" ht="15" hidden="false" customHeight="false" outlineLevel="0" collapsed="false">
      <c r="H458" s="40"/>
    </row>
    <row r="459" customFormat="false" ht="15" hidden="false" customHeight="false" outlineLevel="0" collapsed="false">
      <c r="H459" s="40"/>
    </row>
    <row r="460" customFormat="false" ht="15" hidden="false" customHeight="false" outlineLevel="0" collapsed="false">
      <c r="H460" s="40"/>
    </row>
    <row r="461" customFormat="false" ht="15" hidden="false" customHeight="false" outlineLevel="0" collapsed="false">
      <c r="H461" s="40"/>
    </row>
    <row r="462" customFormat="false" ht="15" hidden="false" customHeight="false" outlineLevel="0" collapsed="false">
      <c r="H462" s="40"/>
    </row>
    <row r="463" customFormat="false" ht="15" hidden="false" customHeight="false" outlineLevel="0" collapsed="false">
      <c r="H463" s="40"/>
    </row>
    <row r="464" customFormat="false" ht="15" hidden="false" customHeight="false" outlineLevel="0" collapsed="false">
      <c r="H464" s="40"/>
    </row>
    <row r="465" customFormat="false" ht="15" hidden="false" customHeight="false" outlineLevel="0" collapsed="false">
      <c r="H465" s="40"/>
    </row>
    <row r="466" customFormat="false" ht="15" hidden="false" customHeight="false" outlineLevel="0" collapsed="false">
      <c r="H466" s="40"/>
    </row>
    <row r="467" customFormat="false" ht="15" hidden="false" customHeight="false" outlineLevel="0" collapsed="false">
      <c r="H467" s="40"/>
    </row>
    <row r="468" customFormat="false" ht="15" hidden="false" customHeight="false" outlineLevel="0" collapsed="false">
      <c r="H468" s="40"/>
    </row>
    <row r="469" customFormat="false" ht="15" hidden="false" customHeight="false" outlineLevel="0" collapsed="false">
      <c r="H469" s="40"/>
    </row>
    <row r="470" customFormat="false" ht="15" hidden="false" customHeight="false" outlineLevel="0" collapsed="false">
      <c r="H470" s="40"/>
    </row>
    <row r="471" customFormat="false" ht="15" hidden="false" customHeight="false" outlineLevel="0" collapsed="false">
      <c r="H471" s="40"/>
    </row>
    <row r="472" customFormat="false" ht="15" hidden="false" customHeight="false" outlineLevel="0" collapsed="false">
      <c r="H472" s="40"/>
    </row>
    <row r="473" customFormat="false" ht="15" hidden="false" customHeight="false" outlineLevel="0" collapsed="false">
      <c r="H473" s="40"/>
    </row>
    <row r="474" customFormat="false" ht="15" hidden="false" customHeight="false" outlineLevel="0" collapsed="false">
      <c r="H474" s="40"/>
    </row>
    <row r="475" customFormat="false" ht="15" hidden="false" customHeight="false" outlineLevel="0" collapsed="false">
      <c r="H475" s="40"/>
    </row>
    <row r="476" customFormat="false" ht="15" hidden="false" customHeight="false" outlineLevel="0" collapsed="false">
      <c r="H476" s="40"/>
    </row>
    <row r="477" customFormat="false" ht="15" hidden="false" customHeight="false" outlineLevel="0" collapsed="false">
      <c r="H477" s="40"/>
    </row>
    <row r="478" customFormat="false" ht="15" hidden="false" customHeight="false" outlineLevel="0" collapsed="false">
      <c r="H478" s="40"/>
    </row>
    <row r="479" customFormat="false" ht="15" hidden="false" customHeight="false" outlineLevel="0" collapsed="false">
      <c r="H479" s="40"/>
    </row>
    <row r="480" customFormat="false" ht="15" hidden="false" customHeight="false" outlineLevel="0" collapsed="false">
      <c r="H480" s="40"/>
    </row>
    <row r="481" customFormat="false" ht="15" hidden="false" customHeight="false" outlineLevel="0" collapsed="false">
      <c r="H481" s="40"/>
    </row>
    <row r="482" customFormat="false" ht="15" hidden="false" customHeight="false" outlineLevel="0" collapsed="false">
      <c r="H482" s="40"/>
    </row>
    <row r="483" customFormat="false" ht="15" hidden="false" customHeight="false" outlineLevel="0" collapsed="false">
      <c r="H483" s="40"/>
    </row>
    <row r="484" customFormat="false" ht="15" hidden="false" customHeight="false" outlineLevel="0" collapsed="false">
      <c r="H484" s="40"/>
    </row>
    <row r="485" customFormat="false" ht="15" hidden="false" customHeight="false" outlineLevel="0" collapsed="false">
      <c r="H485" s="40"/>
    </row>
    <row r="486" customFormat="false" ht="15" hidden="false" customHeight="false" outlineLevel="0" collapsed="false">
      <c r="H486" s="40"/>
    </row>
    <row r="487" customFormat="false" ht="15" hidden="false" customHeight="false" outlineLevel="0" collapsed="false">
      <c r="H487" s="40"/>
    </row>
    <row r="488" customFormat="false" ht="15" hidden="false" customHeight="false" outlineLevel="0" collapsed="false">
      <c r="H488" s="40"/>
    </row>
    <row r="489" customFormat="false" ht="15" hidden="false" customHeight="false" outlineLevel="0" collapsed="false">
      <c r="H489" s="40"/>
    </row>
    <row r="490" customFormat="false" ht="15" hidden="false" customHeight="false" outlineLevel="0" collapsed="false">
      <c r="H490" s="40"/>
    </row>
    <row r="491" customFormat="false" ht="15" hidden="false" customHeight="false" outlineLevel="0" collapsed="false">
      <c r="H491" s="40"/>
    </row>
    <row r="492" customFormat="false" ht="15" hidden="false" customHeight="false" outlineLevel="0" collapsed="false">
      <c r="H492" s="40"/>
    </row>
    <row r="493" customFormat="false" ht="15" hidden="false" customHeight="false" outlineLevel="0" collapsed="false">
      <c r="H493" s="40"/>
    </row>
    <row r="494" customFormat="false" ht="15" hidden="false" customHeight="false" outlineLevel="0" collapsed="false">
      <c r="H494" s="40"/>
    </row>
    <row r="495" customFormat="false" ht="15" hidden="false" customHeight="false" outlineLevel="0" collapsed="false">
      <c r="H495" s="40"/>
    </row>
    <row r="496" customFormat="false" ht="15" hidden="false" customHeight="false" outlineLevel="0" collapsed="false">
      <c r="H496" s="40"/>
    </row>
    <row r="497" customFormat="false" ht="15" hidden="false" customHeight="false" outlineLevel="0" collapsed="false">
      <c r="H497" s="40"/>
    </row>
    <row r="498" customFormat="false" ht="15" hidden="false" customHeight="false" outlineLevel="0" collapsed="false">
      <c r="H498" s="40"/>
    </row>
    <row r="499" customFormat="false" ht="15" hidden="false" customHeight="false" outlineLevel="0" collapsed="false">
      <c r="H499" s="40"/>
    </row>
    <row r="500" customFormat="false" ht="15" hidden="false" customHeight="false" outlineLevel="0" collapsed="false">
      <c r="H500" s="40"/>
    </row>
    <row r="501" customFormat="false" ht="15" hidden="false" customHeight="false" outlineLevel="0" collapsed="false">
      <c r="H501" s="40"/>
    </row>
    <row r="502" customFormat="false" ht="15" hidden="false" customHeight="false" outlineLevel="0" collapsed="false">
      <c r="H502" s="40"/>
    </row>
    <row r="503" customFormat="false" ht="15" hidden="false" customHeight="false" outlineLevel="0" collapsed="false">
      <c r="H503" s="40"/>
    </row>
    <row r="504" customFormat="false" ht="15" hidden="false" customHeight="false" outlineLevel="0" collapsed="false">
      <c r="H504" s="40"/>
    </row>
    <row r="505" customFormat="false" ht="15" hidden="false" customHeight="false" outlineLevel="0" collapsed="false">
      <c r="H505" s="40"/>
    </row>
    <row r="506" customFormat="false" ht="15" hidden="false" customHeight="false" outlineLevel="0" collapsed="false">
      <c r="H506" s="40"/>
    </row>
    <row r="507" customFormat="false" ht="15" hidden="false" customHeight="false" outlineLevel="0" collapsed="false">
      <c r="H507" s="40"/>
    </row>
    <row r="508" customFormat="false" ht="15" hidden="false" customHeight="false" outlineLevel="0" collapsed="false">
      <c r="H508" s="40"/>
    </row>
    <row r="509" customFormat="false" ht="15" hidden="false" customHeight="false" outlineLevel="0" collapsed="false">
      <c r="H509" s="40"/>
    </row>
    <row r="510" customFormat="false" ht="15" hidden="false" customHeight="false" outlineLevel="0" collapsed="false">
      <c r="H510" s="40"/>
    </row>
    <row r="511" customFormat="false" ht="15" hidden="false" customHeight="false" outlineLevel="0" collapsed="false">
      <c r="H511" s="40"/>
    </row>
    <row r="512" customFormat="false" ht="15" hidden="false" customHeight="false" outlineLevel="0" collapsed="false">
      <c r="H512" s="40"/>
    </row>
    <row r="513" customFormat="false" ht="15" hidden="false" customHeight="false" outlineLevel="0" collapsed="false">
      <c r="H513" s="40"/>
    </row>
    <row r="514" customFormat="false" ht="15" hidden="false" customHeight="false" outlineLevel="0" collapsed="false">
      <c r="H514" s="40"/>
    </row>
    <row r="515" customFormat="false" ht="15" hidden="false" customHeight="false" outlineLevel="0" collapsed="false">
      <c r="H515" s="40"/>
    </row>
    <row r="516" customFormat="false" ht="15" hidden="false" customHeight="false" outlineLevel="0" collapsed="false">
      <c r="H516" s="40"/>
    </row>
    <row r="517" customFormat="false" ht="15" hidden="false" customHeight="false" outlineLevel="0" collapsed="false">
      <c r="H517" s="40"/>
    </row>
    <row r="518" customFormat="false" ht="15" hidden="false" customHeight="false" outlineLevel="0" collapsed="false">
      <c r="H518" s="40"/>
    </row>
    <row r="519" customFormat="false" ht="15" hidden="false" customHeight="false" outlineLevel="0" collapsed="false">
      <c r="H519" s="40"/>
    </row>
    <row r="520" customFormat="false" ht="15" hidden="false" customHeight="false" outlineLevel="0" collapsed="false">
      <c r="H520" s="40"/>
    </row>
    <row r="521" customFormat="false" ht="15" hidden="false" customHeight="false" outlineLevel="0" collapsed="false">
      <c r="H521" s="40"/>
    </row>
    <row r="522" customFormat="false" ht="15" hidden="false" customHeight="false" outlineLevel="0" collapsed="false">
      <c r="H522" s="40"/>
    </row>
    <row r="523" customFormat="false" ht="15" hidden="false" customHeight="false" outlineLevel="0" collapsed="false">
      <c r="H523" s="40"/>
    </row>
    <row r="524" customFormat="false" ht="15" hidden="false" customHeight="false" outlineLevel="0" collapsed="false">
      <c r="H524" s="40"/>
    </row>
    <row r="525" customFormat="false" ht="15" hidden="false" customHeight="false" outlineLevel="0" collapsed="false">
      <c r="H525" s="40"/>
    </row>
    <row r="526" customFormat="false" ht="15" hidden="false" customHeight="false" outlineLevel="0" collapsed="false">
      <c r="H526" s="40"/>
    </row>
    <row r="527" customFormat="false" ht="15" hidden="false" customHeight="false" outlineLevel="0" collapsed="false">
      <c r="H527" s="40"/>
    </row>
    <row r="528" customFormat="false" ht="15" hidden="false" customHeight="false" outlineLevel="0" collapsed="false">
      <c r="H528" s="40"/>
    </row>
    <row r="529" customFormat="false" ht="15" hidden="false" customHeight="false" outlineLevel="0" collapsed="false">
      <c r="H529" s="40"/>
    </row>
    <row r="530" customFormat="false" ht="15" hidden="false" customHeight="false" outlineLevel="0" collapsed="false">
      <c r="H530" s="40"/>
    </row>
    <row r="531" customFormat="false" ht="15" hidden="false" customHeight="false" outlineLevel="0" collapsed="false">
      <c r="H531" s="40"/>
    </row>
    <row r="532" customFormat="false" ht="15" hidden="false" customHeight="false" outlineLevel="0" collapsed="false">
      <c r="H532" s="40"/>
    </row>
    <row r="533" customFormat="false" ht="15" hidden="false" customHeight="false" outlineLevel="0" collapsed="false">
      <c r="H533" s="40"/>
    </row>
    <row r="534" customFormat="false" ht="15" hidden="false" customHeight="false" outlineLevel="0" collapsed="false">
      <c r="H534" s="40"/>
    </row>
    <row r="535" customFormat="false" ht="15" hidden="false" customHeight="false" outlineLevel="0" collapsed="false">
      <c r="H535" s="40"/>
    </row>
    <row r="536" customFormat="false" ht="15" hidden="false" customHeight="false" outlineLevel="0" collapsed="false">
      <c r="H536" s="40"/>
    </row>
    <row r="537" customFormat="false" ht="15" hidden="false" customHeight="false" outlineLevel="0" collapsed="false">
      <c r="H537" s="40"/>
    </row>
    <row r="538" customFormat="false" ht="15" hidden="false" customHeight="false" outlineLevel="0" collapsed="false">
      <c r="H538" s="40"/>
    </row>
    <row r="539" customFormat="false" ht="15" hidden="false" customHeight="false" outlineLevel="0" collapsed="false">
      <c r="H539" s="40"/>
    </row>
    <row r="540" customFormat="false" ht="15" hidden="false" customHeight="false" outlineLevel="0" collapsed="false">
      <c r="H540" s="40"/>
    </row>
    <row r="541" customFormat="false" ht="15" hidden="false" customHeight="false" outlineLevel="0" collapsed="false">
      <c r="H541" s="40"/>
    </row>
    <row r="542" customFormat="false" ht="15" hidden="false" customHeight="false" outlineLevel="0" collapsed="false">
      <c r="H542" s="40"/>
    </row>
    <row r="543" customFormat="false" ht="15" hidden="false" customHeight="false" outlineLevel="0" collapsed="false">
      <c r="H543" s="40"/>
    </row>
    <row r="544" customFormat="false" ht="15" hidden="false" customHeight="false" outlineLevel="0" collapsed="false">
      <c r="H544" s="40"/>
    </row>
    <row r="545" customFormat="false" ht="15" hidden="false" customHeight="false" outlineLevel="0" collapsed="false">
      <c r="H545" s="40"/>
    </row>
    <row r="546" customFormat="false" ht="15" hidden="false" customHeight="false" outlineLevel="0" collapsed="false">
      <c r="H546" s="40"/>
    </row>
    <row r="547" customFormat="false" ht="15" hidden="false" customHeight="false" outlineLevel="0" collapsed="false">
      <c r="H547" s="40"/>
    </row>
    <row r="548" customFormat="false" ht="15" hidden="false" customHeight="false" outlineLevel="0" collapsed="false">
      <c r="H548" s="40"/>
    </row>
    <row r="549" customFormat="false" ht="15" hidden="false" customHeight="false" outlineLevel="0" collapsed="false">
      <c r="H549" s="40"/>
    </row>
    <row r="550" customFormat="false" ht="15" hidden="false" customHeight="false" outlineLevel="0" collapsed="false">
      <c r="H550" s="40"/>
    </row>
    <row r="551" customFormat="false" ht="15" hidden="false" customHeight="false" outlineLevel="0" collapsed="false">
      <c r="H551" s="40"/>
    </row>
    <row r="552" customFormat="false" ht="15" hidden="false" customHeight="false" outlineLevel="0" collapsed="false">
      <c r="H552" s="40"/>
    </row>
    <row r="553" customFormat="false" ht="15" hidden="false" customHeight="false" outlineLevel="0" collapsed="false">
      <c r="H553" s="40"/>
    </row>
    <row r="554" customFormat="false" ht="15" hidden="false" customHeight="false" outlineLevel="0" collapsed="false">
      <c r="H554" s="40"/>
    </row>
    <row r="555" customFormat="false" ht="15" hidden="false" customHeight="false" outlineLevel="0" collapsed="false">
      <c r="H555" s="40"/>
    </row>
    <row r="556" customFormat="false" ht="15" hidden="false" customHeight="false" outlineLevel="0" collapsed="false">
      <c r="H556" s="40"/>
    </row>
    <row r="557" customFormat="false" ht="15" hidden="false" customHeight="false" outlineLevel="0" collapsed="false">
      <c r="H557" s="40"/>
    </row>
    <row r="558" customFormat="false" ht="15" hidden="false" customHeight="false" outlineLevel="0" collapsed="false">
      <c r="H558" s="40"/>
    </row>
    <row r="559" customFormat="false" ht="15" hidden="false" customHeight="false" outlineLevel="0" collapsed="false">
      <c r="H559" s="40"/>
    </row>
    <row r="560" customFormat="false" ht="15" hidden="false" customHeight="false" outlineLevel="0" collapsed="false">
      <c r="H560" s="40"/>
    </row>
    <row r="561" customFormat="false" ht="15" hidden="false" customHeight="false" outlineLevel="0" collapsed="false">
      <c r="H561" s="40"/>
    </row>
    <row r="562" customFormat="false" ht="15" hidden="false" customHeight="false" outlineLevel="0" collapsed="false">
      <c r="H562" s="40"/>
    </row>
    <row r="563" customFormat="false" ht="15" hidden="false" customHeight="false" outlineLevel="0" collapsed="false">
      <c r="H563" s="40"/>
    </row>
    <row r="564" customFormat="false" ht="15" hidden="false" customHeight="false" outlineLevel="0" collapsed="false">
      <c r="H564" s="40"/>
    </row>
    <row r="565" customFormat="false" ht="15" hidden="false" customHeight="false" outlineLevel="0" collapsed="false">
      <c r="H565" s="40"/>
    </row>
    <row r="566" customFormat="false" ht="15" hidden="false" customHeight="false" outlineLevel="0" collapsed="false">
      <c r="H566" s="40"/>
    </row>
    <row r="567" customFormat="false" ht="15" hidden="false" customHeight="false" outlineLevel="0" collapsed="false">
      <c r="H567" s="40"/>
    </row>
    <row r="568" customFormat="false" ht="15" hidden="false" customHeight="false" outlineLevel="0" collapsed="false">
      <c r="H568" s="40"/>
    </row>
    <row r="569" customFormat="false" ht="15" hidden="false" customHeight="false" outlineLevel="0" collapsed="false">
      <c r="H569" s="40"/>
    </row>
    <row r="570" customFormat="false" ht="15" hidden="false" customHeight="false" outlineLevel="0" collapsed="false">
      <c r="H570" s="40"/>
    </row>
    <row r="571" customFormat="false" ht="15" hidden="false" customHeight="false" outlineLevel="0" collapsed="false">
      <c r="H571" s="40"/>
    </row>
    <row r="572" customFormat="false" ht="15" hidden="false" customHeight="false" outlineLevel="0" collapsed="false">
      <c r="H572" s="40"/>
    </row>
    <row r="573" customFormat="false" ht="15" hidden="false" customHeight="false" outlineLevel="0" collapsed="false">
      <c r="H573" s="40"/>
    </row>
    <row r="574" customFormat="false" ht="15" hidden="false" customHeight="false" outlineLevel="0" collapsed="false">
      <c r="H574" s="40"/>
    </row>
    <row r="575" customFormat="false" ht="15" hidden="false" customHeight="false" outlineLevel="0" collapsed="false">
      <c r="H575" s="40"/>
    </row>
    <row r="576" customFormat="false" ht="15" hidden="false" customHeight="false" outlineLevel="0" collapsed="false">
      <c r="H576" s="40"/>
    </row>
    <row r="577" customFormat="false" ht="15" hidden="false" customHeight="false" outlineLevel="0" collapsed="false">
      <c r="H577" s="40"/>
    </row>
    <row r="578" customFormat="false" ht="15" hidden="false" customHeight="false" outlineLevel="0" collapsed="false">
      <c r="H578" s="40"/>
    </row>
    <row r="579" customFormat="false" ht="15" hidden="false" customHeight="false" outlineLevel="0" collapsed="false">
      <c r="H579" s="40"/>
    </row>
    <row r="580" customFormat="false" ht="15" hidden="false" customHeight="false" outlineLevel="0" collapsed="false">
      <c r="H580" s="40"/>
    </row>
    <row r="581" customFormat="false" ht="15" hidden="false" customHeight="false" outlineLevel="0" collapsed="false">
      <c r="H581" s="40"/>
    </row>
    <row r="582" customFormat="false" ht="15" hidden="false" customHeight="false" outlineLevel="0" collapsed="false">
      <c r="H582" s="40"/>
    </row>
    <row r="583" customFormat="false" ht="15" hidden="false" customHeight="false" outlineLevel="0" collapsed="false">
      <c r="H583" s="40"/>
    </row>
    <row r="584" customFormat="false" ht="15" hidden="false" customHeight="false" outlineLevel="0" collapsed="false">
      <c r="H584" s="40"/>
    </row>
    <row r="585" customFormat="false" ht="15" hidden="false" customHeight="false" outlineLevel="0" collapsed="false">
      <c r="H585" s="40"/>
    </row>
    <row r="586" customFormat="false" ht="15" hidden="false" customHeight="false" outlineLevel="0" collapsed="false">
      <c r="H586" s="40"/>
    </row>
    <row r="587" customFormat="false" ht="15" hidden="false" customHeight="false" outlineLevel="0" collapsed="false">
      <c r="H587" s="40"/>
    </row>
    <row r="588" customFormat="false" ht="15" hidden="false" customHeight="false" outlineLevel="0" collapsed="false">
      <c r="H588" s="40"/>
    </row>
    <row r="589" customFormat="false" ht="15" hidden="false" customHeight="false" outlineLevel="0" collapsed="false">
      <c r="H589" s="40"/>
    </row>
    <row r="590" customFormat="false" ht="15" hidden="false" customHeight="false" outlineLevel="0" collapsed="false">
      <c r="H590" s="40"/>
    </row>
    <row r="591" customFormat="false" ht="15" hidden="false" customHeight="false" outlineLevel="0" collapsed="false">
      <c r="H591" s="40"/>
    </row>
    <row r="592" customFormat="false" ht="15" hidden="false" customHeight="false" outlineLevel="0" collapsed="false">
      <c r="H592" s="40"/>
    </row>
    <row r="593" customFormat="false" ht="15" hidden="false" customHeight="false" outlineLevel="0" collapsed="false">
      <c r="H593" s="40"/>
    </row>
    <row r="594" customFormat="false" ht="15" hidden="false" customHeight="false" outlineLevel="0" collapsed="false">
      <c r="H594" s="40"/>
    </row>
    <row r="595" customFormat="false" ht="15" hidden="false" customHeight="false" outlineLevel="0" collapsed="false">
      <c r="H595" s="40"/>
    </row>
    <row r="596" customFormat="false" ht="15" hidden="false" customHeight="false" outlineLevel="0" collapsed="false">
      <c r="H596" s="40"/>
    </row>
    <row r="597" customFormat="false" ht="15" hidden="false" customHeight="false" outlineLevel="0" collapsed="false">
      <c r="H597" s="40"/>
    </row>
    <row r="598" customFormat="false" ht="15" hidden="false" customHeight="false" outlineLevel="0" collapsed="false">
      <c r="H598" s="40"/>
    </row>
    <row r="599" customFormat="false" ht="15" hidden="false" customHeight="false" outlineLevel="0" collapsed="false">
      <c r="H599" s="40"/>
    </row>
    <row r="600" customFormat="false" ht="15" hidden="false" customHeight="false" outlineLevel="0" collapsed="false">
      <c r="H600" s="40"/>
    </row>
    <row r="601" customFormat="false" ht="15" hidden="false" customHeight="false" outlineLevel="0" collapsed="false">
      <c r="H601" s="40"/>
    </row>
    <row r="602" customFormat="false" ht="15" hidden="false" customHeight="false" outlineLevel="0" collapsed="false">
      <c r="H602" s="40"/>
    </row>
    <row r="603" customFormat="false" ht="15" hidden="false" customHeight="false" outlineLevel="0" collapsed="false">
      <c r="H603" s="40"/>
    </row>
    <row r="604" customFormat="false" ht="15" hidden="false" customHeight="false" outlineLevel="0" collapsed="false">
      <c r="H604" s="40"/>
    </row>
    <row r="605" customFormat="false" ht="15" hidden="false" customHeight="false" outlineLevel="0" collapsed="false">
      <c r="H605" s="40"/>
    </row>
    <row r="606" customFormat="false" ht="15" hidden="false" customHeight="false" outlineLevel="0" collapsed="false">
      <c r="H606" s="40"/>
    </row>
    <row r="607" customFormat="false" ht="15" hidden="false" customHeight="false" outlineLevel="0" collapsed="false">
      <c r="H607" s="40"/>
    </row>
    <row r="608" customFormat="false" ht="15" hidden="false" customHeight="false" outlineLevel="0" collapsed="false">
      <c r="H608" s="40"/>
    </row>
    <row r="609" customFormat="false" ht="15" hidden="false" customHeight="false" outlineLevel="0" collapsed="false">
      <c r="H609" s="40"/>
    </row>
    <row r="610" customFormat="false" ht="15" hidden="false" customHeight="false" outlineLevel="0" collapsed="false">
      <c r="H610" s="40"/>
    </row>
    <row r="611" customFormat="false" ht="15" hidden="false" customHeight="false" outlineLevel="0" collapsed="false">
      <c r="H611" s="40"/>
    </row>
    <row r="612" customFormat="false" ht="15" hidden="false" customHeight="false" outlineLevel="0" collapsed="false">
      <c r="H612" s="40"/>
    </row>
    <row r="613" customFormat="false" ht="15" hidden="false" customHeight="false" outlineLevel="0" collapsed="false">
      <c r="H613" s="40"/>
    </row>
    <row r="614" customFormat="false" ht="15" hidden="false" customHeight="false" outlineLevel="0" collapsed="false">
      <c r="H614" s="40"/>
    </row>
    <row r="615" customFormat="false" ht="15" hidden="false" customHeight="false" outlineLevel="0" collapsed="false">
      <c r="H615" s="40"/>
    </row>
    <row r="616" customFormat="false" ht="15" hidden="false" customHeight="false" outlineLevel="0" collapsed="false">
      <c r="H616" s="40"/>
    </row>
    <row r="617" customFormat="false" ht="15" hidden="false" customHeight="false" outlineLevel="0" collapsed="false">
      <c r="H617" s="40"/>
    </row>
    <row r="618" customFormat="false" ht="15" hidden="false" customHeight="false" outlineLevel="0" collapsed="false">
      <c r="H618" s="40"/>
    </row>
    <row r="619" customFormat="false" ht="15" hidden="false" customHeight="false" outlineLevel="0" collapsed="false">
      <c r="H619" s="40"/>
    </row>
    <row r="620" customFormat="false" ht="15" hidden="false" customHeight="false" outlineLevel="0" collapsed="false">
      <c r="H620" s="40"/>
    </row>
    <row r="621" customFormat="false" ht="15" hidden="false" customHeight="false" outlineLevel="0" collapsed="false">
      <c r="H621" s="40"/>
    </row>
    <row r="622" customFormat="false" ht="15" hidden="false" customHeight="false" outlineLevel="0" collapsed="false">
      <c r="H622" s="40"/>
    </row>
    <row r="623" customFormat="false" ht="15" hidden="false" customHeight="false" outlineLevel="0" collapsed="false">
      <c r="H623" s="40"/>
    </row>
    <row r="624" customFormat="false" ht="15" hidden="false" customHeight="false" outlineLevel="0" collapsed="false">
      <c r="H624" s="40"/>
    </row>
    <row r="625" customFormat="false" ht="15" hidden="false" customHeight="false" outlineLevel="0" collapsed="false">
      <c r="H625" s="40"/>
    </row>
    <row r="626" customFormat="false" ht="15" hidden="false" customHeight="false" outlineLevel="0" collapsed="false">
      <c r="H626" s="40"/>
    </row>
    <row r="627" customFormat="false" ht="15" hidden="false" customHeight="false" outlineLevel="0" collapsed="false">
      <c r="H627" s="40"/>
    </row>
    <row r="628" customFormat="false" ht="15" hidden="false" customHeight="false" outlineLevel="0" collapsed="false">
      <c r="H628" s="40"/>
    </row>
    <row r="629" customFormat="false" ht="15" hidden="false" customHeight="false" outlineLevel="0" collapsed="false">
      <c r="H629" s="40"/>
    </row>
    <row r="630" customFormat="false" ht="15" hidden="false" customHeight="false" outlineLevel="0" collapsed="false">
      <c r="H630" s="40"/>
    </row>
    <row r="631" customFormat="false" ht="15" hidden="false" customHeight="false" outlineLevel="0" collapsed="false">
      <c r="H631" s="40"/>
    </row>
    <row r="632" customFormat="false" ht="15" hidden="false" customHeight="false" outlineLevel="0" collapsed="false">
      <c r="H632" s="40"/>
    </row>
    <row r="633" customFormat="false" ht="15" hidden="false" customHeight="false" outlineLevel="0" collapsed="false">
      <c r="H633" s="40"/>
    </row>
    <row r="634" customFormat="false" ht="15" hidden="false" customHeight="false" outlineLevel="0" collapsed="false">
      <c r="H634" s="40"/>
    </row>
    <row r="635" customFormat="false" ht="15" hidden="false" customHeight="false" outlineLevel="0" collapsed="false">
      <c r="H635" s="40"/>
    </row>
    <row r="636" customFormat="false" ht="15" hidden="false" customHeight="false" outlineLevel="0" collapsed="false">
      <c r="H636" s="40"/>
    </row>
    <row r="637" customFormat="false" ht="15" hidden="false" customHeight="false" outlineLevel="0" collapsed="false">
      <c r="H637" s="40"/>
    </row>
    <row r="638" customFormat="false" ht="15" hidden="false" customHeight="false" outlineLevel="0" collapsed="false">
      <c r="H638" s="40"/>
    </row>
    <row r="639" customFormat="false" ht="15" hidden="false" customHeight="false" outlineLevel="0" collapsed="false">
      <c r="H639" s="40"/>
    </row>
    <row r="640" customFormat="false" ht="15" hidden="false" customHeight="false" outlineLevel="0" collapsed="false">
      <c r="H640" s="40"/>
    </row>
    <row r="641" customFormat="false" ht="15" hidden="false" customHeight="false" outlineLevel="0" collapsed="false">
      <c r="H641" s="40"/>
    </row>
    <row r="642" customFormat="false" ht="15" hidden="false" customHeight="false" outlineLevel="0" collapsed="false">
      <c r="H642" s="40"/>
    </row>
    <row r="643" customFormat="false" ht="15" hidden="false" customHeight="false" outlineLevel="0" collapsed="false">
      <c r="H643" s="40"/>
    </row>
    <row r="644" customFormat="false" ht="15" hidden="false" customHeight="false" outlineLevel="0" collapsed="false">
      <c r="H644" s="40"/>
    </row>
    <row r="645" customFormat="false" ht="15" hidden="false" customHeight="false" outlineLevel="0" collapsed="false">
      <c r="H645" s="40"/>
    </row>
    <row r="646" customFormat="false" ht="15" hidden="false" customHeight="false" outlineLevel="0" collapsed="false">
      <c r="H646" s="40"/>
    </row>
    <row r="647" customFormat="false" ht="15" hidden="false" customHeight="false" outlineLevel="0" collapsed="false">
      <c r="H647" s="40"/>
    </row>
    <row r="648" customFormat="false" ht="15" hidden="false" customHeight="false" outlineLevel="0" collapsed="false">
      <c r="H648" s="40"/>
    </row>
    <row r="649" customFormat="false" ht="15" hidden="false" customHeight="false" outlineLevel="0" collapsed="false">
      <c r="H649" s="40"/>
    </row>
    <row r="650" customFormat="false" ht="15" hidden="false" customHeight="false" outlineLevel="0" collapsed="false">
      <c r="H650" s="40"/>
    </row>
    <row r="651" customFormat="false" ht="15" hidden="false" customHeight="false" outlineLevel="0" collapsed="false">
      <c r="H651" s="40"/>
    </row>
    <row r="652" customFormat="false" ht="15" hidden="false" customHeight="false" outlineLevel="0" collapsed="false">
      <c r="H652" s="40"/>
    </row>
    <row r="653" customFormat="false" ht="15" hidden="false" customHeight="false" outlineLevel="0" collapsed="false">
      <c r="H653" s="40"/>
    </row>
    <row r="654" customFormat="false" ht="15" hidden="false" customHeight="false" outlineLevel="0" collapsed="false">
      <c r="H654" s="40"/>
    </row>
    <row r="655" customFormat="false" ht="15" hidden="false" customHeight="false" outlineLevel="0" collapsed="false">
      <c r="H655" s="40"/>
    </row>
    <row r="656" customFormat="false" ht="15" hidden="false" customHeight="false" outlineLevel="0" collapsed="false">
      <c r="H656" s="40"/>
    </row>
    <row r="657" customFormat="false" ht="15" hidden="false" customHeight="false" outlineLevel="0" collapsed="false">
      <c r="H657" s="40"/>
    </row>
    <row r="658" customFormat="false" ht="15" hidden="false" customHeight="false" outlineLevel="0" collapsed="false">
      <c r="H658" s="40"/>
    </row>
    <row r="659" customFormat="false" ht="15" hidden="false" customHeight="false" outlineLevel="0" collapsed="false">
      <c r="H659" s="40"/>
    </row>
    <row r="660" customFormat="false" ht="15" hidden="false" customHeight="false" outlineLevel="0" collapsed="false">
      <c r="H660" s="40"/>
    </row>
    <row r="661" customFormat="false" ht="15" hidden="false" customHeight="false" outlineLevel="0" collapsed="false">
      <c r="H661" s="40"/>
    </row>
    <row r="662" customFormat="false" ht="15" hidden="false" customHeight="false" outlineLevel="0" collapsed="false">
      <c r="H662" s="40"/>
    </row>
    <row r="663" customFormat="false" ht="15" hidden="false" customHeight="false" outlineLevel="0" collapsed="false">
      <c r="H663" s="40"/>
    </row>
    <row r="664" customFormat="false" ht="15" hidden="false" customHeight="false" outlineLevel="0" collapsed="false">
      <c r="H664" s="40"/>
    </row>
    <row r="665" customFormat="false" ht="15" hidden="false" customHeight="false" outlineLevel="0" collapsed="false">
      <c r="H665" s="40"/>
    </row>
    <row r="666" customFormat="false" ht="15" hidden="false" customHeight="false" outlineLevel="0" collapsed="false">
      <c r="H666" s="40"/>
    </row>
    <row r="667" customFormat="false" ht="15" hidden="false" customHeight="false" outlineLevel="0" collapsed="false">
      <c r="H667" s="40"/>
    </row>
    <row r="668" customFormat="false" ht="15" hidden="false" customHeight="false" outlineLevel="0" collapsed="false">
      <c r="H668" s="40"/>
    </row>
    <row r="669" customFormat="false" ht="15" hidden="false" customHeight="false" outlineLevel="0" collapsed="false">
      <c r="H669" s="40"/>
    </row>
    <row r="670" customFormat="false" ht="15" hidden="false" customHeight="false" outlineLevel="0" collapsed="false">
      <c r="H670" s="40"/>
    </row>
    <row r="671" customFormat="false" ht="15" hidden="false" customHeight="false" outlineLevel="0" collapsed="false">
      <c r="H671" s="40"/>
    </row>
    <row r="672" customFormat="false" ht="15" hidden="false" customHeight="false" outlineLevel="0" collapsed="false">
      <c r="H672" s="40"/>
    </row>
    <row r="673" customFormat="false" ht="15" hidden="false" customHeight="false" outlineLevel="0" collapsed="false">
      <c r="H673" s="40"/>
    </row>
    <row r="674" customFormat="false" ht="15" hidden="false" customHeight="false" outlineLevel="0" collapsed="false">
      <c r="H674" s="40"/>
    </row>
    <row r="675" customFormat="false" ht="15" hidden="false" customHeight="false" outlineLevel="0" collapsed="false">
      <c r="H675" s="40"/>
    </row>
    <row r="676" customFormat="false" ht="15" hidden="false" customHeight="false" outlineLevel="0" collapsed="false">
      <c r="H676" s="40"/>
    </row>
    <row r="677" customFormat="false" ht="15" hidden="false" customHeight="false" outlineLevel="0" collapsed="false">
      <c r="H677" s="40"/>
    </row>
    <row r="678" customFormat="false" ht="15" hidden="false" customHeight="false" outlineLevel="0" collapsed="false">
      <c r="H678" s="40"/>
    </row>
    <row r="679" customFormat="false" ht="15" hidden="false" customHeight="false" outlineLevel="0" collapsed="false">
      <c r="H679" s="40"/>
    </row>
    <row r="680" customFormat="false" ht="15" hidden="false" customHeight="false" outlineLevel="0" collapsed="false">
      <c r="H680" s="40"/>
    </row>
    <row r="681" customFormat="false" ht="15" hidden="false" customHeight="false" outlineLevel="0" collapsed="false">
      <c r="H681" s="40"/>
    </row>
    <row r="682" customFormat="false" ht="15" hidden="false" customHeight="false" outlineLevel="0" collapsed="false">
      <c r="H682" s="40"/>
    </row>
    <row r="683" customFormat="false" ht="15" hidden="false" customHeight="false" outlineLevel="0" collapsed="false">
      <c r="H683" s="40"/>
    </row>
    <row r="684" customFormat="false" ht="15" hidden="false" customHeight="false" outlineLevel="0" collapsed="false">
      <c r="H684" s="40"/>
    </row>
    <row r="685" customFormat="false" ht="15" hidden="false" customHeight="false" outlineLevel="0" collapsed="false">
      <c r="H685" s="40"/>
    </row>
    <row r="686" customFormat="false" ht="15" hidden="false" customHeight="false" outlineLevel="0" collapsed="false">
      <c r="H686" s="40"/>
    </row>
    <row r="687" customFormat="false" ht="15" hidden="false" customHeight="false" outlineLevel="0" collapsed="false">
      <c r="H687" s="40"/>
    </row>
    <row r="688" customFormat="false" ht="15" hidden="false" customHeight="false" outlineLevel="0" collapsed="false">
      <c r="H688" s="40"/>
    </row>
    <row r="689" customFormat="false" ht="15" hidden="false" customHeight="false" outlineLevel="0" collapsed="false">
      <c r="H689" s="40"/>
    </row>
    <row r="690" customFormat="false" ht="15" hidden="false" customHeight="false" outlineLevel="0" collapsed="false">
      <c r="H690" s="40"/>
    </row>
    <row r="691" customFormat="false" ht="15" hidden="false" customHeight="false" outlineLevel="0" collapsed="false">
      <c r="H691" s="40"/>
    </row>
    <row r="692" customFormat="false" ht="15" hidden="false" customHeight="false" outlineLevel="0" collapsed="false">
      <c r="H692" s="40"/>
    </row>
    <row r="693" customFormat="false" ht="15" hidden="false" customHeight="false" outlineLevel="0" collapsed="false">
      <c r="H693" s="40"/>
    </row>
    <row r="694" customFormat="false" ht="15" hidden="false" customHeight="false" outlineLevel="0" collapsed="false">
      <c r="H694" s="40"/>
    </row>
    <row r="695" customFormat="false" ht="15" hidden="false" customHeight="false" outlineLevel="0" collapsed="false">
      <c r="H695" s="40"/>
    </row>
    <row r="696" customFormat="false" ht="15" hidden="false" customHeight="false" outlineLevel="0" collapsed="false">
      <c r="H696" s="40"/>
    </row>
    <row r="697" customFormat="false" ht="15" hidden="false" customHeight="false" outlineLevel="0" collapsed="false">
      <c r="H697" s="40"/>
    </row>
    <row r="698" customFormat="false" ht="15" hidden="false" customHeight="false" outlineLevel="0" collapsed="false">
      <c r="H698" s="40"/>
    </row>
    <row r="699" customFormat="false" ht="15" hidden="false" customHeight="false" outlineLevel="0" collapsed="false">
      <c r="H699" s="40"/>
    </row>
    <row r="700" customFormat="false" ht="15" hidden="false" customHeight="false" outlineLevel="0" collapsed="false">
      <c r="H700" s="40"/>
    </row>
    <row r="701" customFormat="false" ht="15" hidden="false" customHeight="false" outlineLevel="0" collapsed="false">
      <c r="H701" s="40"/>
    </row>
    <row r="702" customFormat="false" ht="15" hidden="false" customHeight="false" outlineLevel="0" collapsed="false">
      <c r="H702" s="40"/>
    </row>
    <row r="703" customFormat="false" ht="15" hidden="false" customHeight="false" outlineLevel="0" collapsed="false">
      <c r="H703" s="40"/>
    </row>
    <row r="704" customFormat="false" ht="15" hidden="false" customHeight="false" outlineLevel="0" collapsed="false">
      <c r="H704" s="40"/>
    </row>
    <row r="705" customFormat="false" ht="15" hidden="false" customHeight="false" outlineLevel="0" collapsed="false">
      <c r="H705" s="40"/>
    </row>
    <row r="706" customFormat="false" ht="15" hidden="false" customHeight="false" outlineLevel="0" collapsed="false">
      <c r="H706" s="40"/>
    </row>
    <row r="707" customFormat="false" ht="15" hidden="false" customHeight="false" outlineLevel="0" collapsed="false">
      <c r="H707" s="40"/>
    </row>
    <row r="708" customFormat="false" ht="15" hidden="false" customHeight="false" outlineLevel="0" collapsed="false">
      <c r="H708" s="40"/>
    </row>
    <row r="709" customFormat="false" ht="15" hidden="false" customHeight="false" outlineLevel="0" collapsed="false">
      <c r="H709" s="40"/>
    </row>
    <row r="710" customFormat="false" ht="15" hidden="false" customHeight="false" outlineLevel="0" collapsed="false">
      <c r="H710" s="40"/>
    </row>
    <row r="711" customFormat="false" ht="15" hidden="false" customHeight="false" outlineLevel="0" collapsed="false">
      <c r="H711" s="40"/>
    </row>
    <row r="712" customFormat="false" ht="15" hidden="false" customHeight="false" outlineLevel="0" collapsed="false">
      <c r="H712" s="40"/>
    </row>
    <row r="713" customFormat="false" ht="15" hidden="false" customHeight="false" outlineLevel="0" collapsed="false">
      <c r="H713" s="40"/>
    </row>
    <row r="714" customFormat="false" ht="15" hidden="false" customHeight="false" outlineLevel="0" collapsed="false">
      <c r="H714" s="40"/>
    </row>
    <row r="715" customFormat="false" ht="15" hidden="false" customHeight="false" outlineLevel="0" collapsed="false">
      <c r="H715" s="40"/>
    </row>
    <row r="716" customFormat="false" ht="15" hidden="false" customHeight="false" outlineLevel="0" collapsed="false">
      <c r="H716" s="40"/>
    </row>
    <row r="717" customFormat="false" ht="15" hidden="false" customHeight="false" outlineLevel="0" collapsed="false">
      <c r="H717" s="40"/>
    </row>
    <row r="718" customFormat="false" ht="15" hidden="false" customHeight="false" outlineLevel="0" collapsed="false">
      <c r="H718" s="40"/>
    </row>
    <row r="719" customFormat="false" ht="15" hidden="false" customHeight="false" outlineLevel="0" collapsed="false">
      <c r="H719" s="40"/>
    </row>
    <row r="720" customFormat="false" ht="15" hidden="false" customHeight="false" outlineLevel="0" collapsed="false">
      <c r="H720" s="40"/>
    </row>
    <row r="721" customFormat="false" ht="15" hidden="false" customHeight="false" outlineLevel="0" collapsed="false">
      <c r="H721" s="40"/>
    </row>
    <row r="722" customFormat="false" ht="15" hidden="false" customHeight="false" outlineLevel="0" collapsed="false">
      <c r="H722" s="40"/>
    </row>
    <row r="723" customFormat="false" ht="15" hidden="false" customHeight="false" outlineLevel="0" collapsed="false">
      <c r="H723" s="40"/>
    </row>
    <row r="724" customFormat="false" ht="15" hidden="false" customHeight="false" outlineLevel="0" collapsed="false">
      <c r="H724" s="40"/>
    </row>
    <row r="725" customFormat="false" ht="15" hidden="false" customHeight="false" outlineLevel="0" collapsed="false">
      <c r="H725" s="40"/>
    </row>
    <row r="726" customFormat="false" ht="15" hidden="false" customHeight="false" outlineLevel="0" collapsed="false">
      <c r="H726" s="40"/>
    </row>
    <row r="727" customFormat="false" ht="15" hidden="false" customHeight="false" outlineLevel="0" collapsed="false">
      <c r="H727" s="40"/>
    </row>
    <row r="728" customFormat="false" ht="15" hidden="false" customHeight="false" outlineLevel="0" collapsed="false">
      <c r="H728" s="40"/>
    </row>
    <row r="729" customFormat="false" ht="15" hidden="false" customHeight="false" outlineLevel="0" collapsed="false">
      <c r="H729" s="40"/>
    </row>
    <row r="730" customFormat="false" ht="15" hidden="false" customHeight="false" outlineLevel="0" collapsed="false">
      <c r="H730" s="40"/>
    </row>
    <row r="731" customFormat="false" ht="15" hidden="false" customHeight="false" outlineLevel="0" collapsed="false">
      <c r="H731" s="40"/>
    </row>
    <row r="732" customFormat="false" ht="15" hidden="false" customHeight="false" outlineLevel="0" collapsed="false">
      <c r="H732" s="40"/>
    </row>
    <row r="733" customFormat="false" ht="15" hidden="false" customHeight="false" outlineLevel="0" collapsed="false">
      <c r="H733" s="40"/>
    </row>
    <row r="734" customFormat="false" ht="15" hidden="false" customHeight="false" outlineLevel="0" collapsed="false">
      <c r="H734" s="40"/>
    </row>
    <row r="735" customFormat="false" ht="15" hidden="false" customHeight="false" outlineLevel="0" collapsed="false">
      <c r="H735" s="40"/>
    </row>
    <row r="736" customFormat="false" ht="15" hidden="false" customHeight="false" outlineLevel="0" collapsed="false">
      <c r="H736" s="40"/>
    </row>
    <row r="737" customFormat="false" ht="15" hidden="false" customHeight="false" outlineLevel="0" collapsed="false">
      <c r="H737" s="40"/>
    </row>
    <row r="738" customFormat="false" ht="15" hidden="false" customHeight="false" outlineLevel="0" collapsed="false">
      <c r="H738" s="40"/>
    </row>
    <row r="739" customFormat="false" ht="15" hidden="false" customHeight="false" outlineLevel="0" collapsed="false">
      <c r="H739" s="40"/>
    </row>
    <row r="740" customFormat="false" ht="15" hidden="false" customHeight="false" outlineLevel="0" collapsed="false">
      <c r="H740" s="40"/>
    </row>
    <row r="741" customFormat="false" ht="15" hidden="false" customHeight="false" outlineLevel="0" collapsed="false">
      <c r="H741" s="40"/>
    </row>
    <row r="742" customFormat="false" ht="15" hidden="false" customHeight="false" outlineLevel="0" collapsed="false">
      <c r="H742" s="40"/>
    </row>
    <row r="743" customFormat="false" ht="15" hidden="false" customHeight="false" outlineLevel="0" collapsed="false">
      <c r="H743" s="40"/>
    </row>
    <row r="744" customFormat="false" ht="15" hidden="false" customHeight="false" outlineLevel="0" collapsed="false">
      <c r="H744" s="40"/>
    </row>
    <row r="745" customFormat="false" ht="15" hidden="false" customHeight="false" outlineLevel="0" collapsed="false">
      <c r="H745" s="40"/>
    </row>
    <row r="746" customFormat="false" ht="15" hidden="false" customHeight="false" outlineLevel="0" collapsed="false">
      <c r="H746" s="40"/>
    </row>
    <row r="747" customFormat="false" ht="15" hidden="false" customHeight="false" outlineLevel="0" collapsed="false">
      <c r="H747" s="40"/>
    </row>
    <row r="748" customFormat="false" ht="15" hidden="false" customHeight="false" outlineLevel="0" collapsed="false">
      <c r="H748" s="40"/>
    </row>
    <row r="749" customFormat="false" ht="15" hidden="false" customHeight="false" outlineLevel="0" collapsed="false">
      <c r="H749" s="40"/>
    </row>
    <row r="750" customFormat="false" ht="15" hidden="false" customHeight="false" outlineLevel="0" collapsed="false">
      <c r="H750" s="40"/>
    </row>
    <row r="751" customFormat="false" ht="15" hidden="false" customHeight="false" outlineLevel="0" collapsed="false">
      <c r="H751" s="40"/>
    </row>
    <row r="752" customFormat="false" ht="15" hidden="false" customHeight="false" outlineLevel="0" collapsed="false">
      <c r="H752" s="40"/>
    </row>
    <row r="753" customFormat="false" ht="15" hidden="false" customHeight="false" outlineLevel="0" collapsed="false">
      <c r="H753" s="40"/>
    </row>
    <row r="754" customFormat="false" ht="15" hidden="false" customHeight="false" outlineLevel="0" collapsed="false">
      <c r="H754" s="40"/>
    </row>
    <row r="755" customFormat="false" ht="15" hidden="false" customHeight="false" outlineLevel="0" collapsed="false">
      <c r="H755" s="40"/>
    </row>
    <row r="756" customFormat="false" ht="15" hidden="false" customHeight="false" outlineLevel="0" collapsed="false">
      <c r="H756" s="40"/>
    </row>
    <row r="757" customFormat="false" ht="15" hidden="false" customHeight="false" outlineLevel="0" collapsed="false">
      <c r="H757" s="40"/>
    </row>
    <row r="758" customFormat="false" ht="15" hidden="false" customHeight="false" outlineLevel="0" collapsed="false">
      <c r="H758" s="40"/>
    </row>
    <row r="759" customFormat="false" ht="15" hidden="false" customHeight="false" outlineLevel="0" collapsed="false">
      <c r="H759" s="40"/>
    </row>
    <row r="760" customFormat="false" ht="15" hidden="false" customHeight="false" outlineLevel="0" collapsed="false">
      <c r="H760" s="40"/>
    </row>
    <row r="761" customFormat="false" ht="15" hidden="false" customHeight="false" outlineLevel="0" collapsed="false">
      <c r="H761" s="40"/>
    </row>
    <row r="762" customFormat="false" ht="15" hidden="false" customHeight="false" outlineLevel="0" collapsed="false">
      <c r="H762" s="40"/>
    </row>
    <row r="763" customFormat="false" ht="15" hidden="false" customHeight="false" outlineLevel="0" collapsed="false">
      <c r="H763" s="40"/>
    </row>
    <row r="764" customFormat="false" ht="15" hidden="false" customHeight="false" outlineLevel="0" collapsed="false">
      <c r="H764" s="40"/>
    </row>
    <row r="765" customFormat="false" ht="15" hidden="false" customHeight="false" outlineLevel="0" collapsed="false">
      <c r="H765" s="40"/>
    </row>
    <row r="766" customFormat="false" ht="15" hidden="false" customHeight="false" outlineLevel="0" collapsed="false">
      <c r="H766" s="40"/>
    </row>
    <row r="767" customFormat="false" ht="15" hidden="false" customHeight="false" outlineLevel="0" collapsed="false">
      <c r="H767" s="40"/>
    </row>
    <row r="768" customFormat="false" ht="15" hidden="false" customHeight="false" outlineLevel="0" collapsed="false">
      <c r="H768" s="40"/>
    </row>
    <row r="769" customFormat="false" ht="15" hidden="false" customHeight="false" outlineLevel="0" collapsed="false">
      <c r="H769" s="40"/>
    </row>
    <row r="770" customFormat="false" ht="15" hidden="false" customHeight="false" outlineLevel="0" collapsed="false">
      <c r="H770" s="40"/>
    </row>
    <row r="771" customFormat="false" ht="15" hidden="false" customHeight="false" outlineLevel="0" collapsed="false">
      <c r="H771" s="40"/>
    </row>
    <row r="772" customFormat="false" ht="15" hidden="false" customHeight="false" outlineLevel="0" collapsed="false">
      <c r="H772" s="40"/>
    </row>
    <row r="773" customFormat="false" ht="15" hidden="false" customHeight="false" outlineLevel="0" collapsed="false">
      <c r="H773" s="40"/>
    </row>
    <row r="774" customFormat="false" ht="15" hidden="false" customHeight="false" outlineLevel="0" collapsed="false">
      <c r="H774" s="40"/>
    </row>
    <row r="775" customFormat="false" ht="15" hidden="false" customHeight="false" outlineLevel="0" collapsed="false">
      <c r="H775" s="40"/>
    </row>
    <row r="776" customFormat="false" ht="15" hidden="false" customHeight="false" outlineLevel="0" collapsed="false">
      <c r="H776" s="40"/>
    </row>
    <row r="777" customFormat="false" ht="15" hidden="false" customHeight="false" outlineLevel="0" collapsed="false">
      <c r="H777" s="40"/>
    </row>
    <row r="778" customFormat="false" ht="15" hidden="false" customHeight="false" outlineLevel="0" collapsed="false">
      <c r="H778" s="40"/>
    </row>
    <row r="779" customFormat="false" ht="15" hidden="false" customHeight="false" outlineLevel="0" collapsed="false">
      <c r="H779" s="40"/>
    </row>
    <row r="780" customFormat="false" ht="15" hidden="false" customHeight="false" outlineLevel="0" collapsed="false">
      <c r="H780" s="40"/>
    </row>
    <row r="781" customFormat="false" ht="15" hidden="false" customHeight="false" outlineLevel="0" collapsed="false">
      <c r="H781" s="40"/>
    </row>
    <row r="782" customFormat="false" ht="15" hidden="false" customHeight="false" outlineLevel="0" collapsed="false">
      <c r="H782" s="40"/>
    </row>
    <row r="783" customFormat="false" ht="15" hidden="false" customHeight="false" outlineLevel="0" collapsed="false">
      <c r="H783" s="40"/>
    </row>
    <row r="784" customFormat="false" ht="15" hidden="false" customHeight="false" outlineLevel="0" collapsed="false">
      <c r="H784" s="40"/>
    </row>
    <row r="785" customFormat="false" ht="15" hidden="false" customHeight="false" outlineLevel="0" collapsed="false">
      <c r="H785" s="40"/>
    </row>
    <row r="786" customFormat="false" ht="15" hidden="false" customHeight="false" outlineLevel="0" collapsed="false">
      <c r="H786" s="40"/>
    </row>
    <row r="787" customFormat="false" ht="15" hidden="false" customHeight="false" outlineLevel="0" collapsed="false">
      <c r="H787" s="40"/>
    </row>
    <row r="788" customFormat="false" ht="15" hidden="false" customHeight="false" outlineLevel="0" collapsed="false">
      <c r="H788" s="40"/>
    </row>
    <row r="789" customFormat="false" ht="15" hidden="false" customHeight="false" outlineLevel="0" collapsed="false">
      <c r="H789" s="40"/>
    </row>
    <row r="790" customFormat="false" ht="15" hidden="false" customHeight="false" outlineLevel="0" collapsed="false">
      <c r="H790" s="40"/>
    </row>
    <row r="791" customFormat="false" ht="15" hidden="false" customHeight="false" outlineLevel="0" collapsed="false">
      <c r="H791" s="40"/>
    </row>
    <row r="792" customFormat="false" ht="15" hidden="false" customHeight="false" outlineLevel="0" collapsed="false">
      <c r="H792" s="40"/>
    </row>
    <row r="793" customFormat="false" ht="15" hidden="false" customHeight="false" outlineLevel="0" collapsed="false">
      <c r="H793" s="40"/>
    </row>
    <row r="794" customFormat="false" ht="15" hidden="false" customHeight="false" outlineLevel="0" collapsed="false">
      <c r="H794" s="40"/>
    </row>
    <row r="795" customFormat="false" ht="15" hidden="false" customHeight="false" outlineLevel="0" collapsed="false">
      <c r="H795" s="40"/>
    </row>
    <row r="796" customFormat="false" ht="15" hidden="false" customHeight="false" outlineLevel="0" collapsed="false">
      <c r="H796" s="40"/>
    </row>
    <row r="797" customFormat="false" ht="15" hidden="false" customHeight="false" outlineLevel="0" collapsed="false">
      <c r="H797" s="40"/>
    </row>
    <row r="798" customFormat="false" ht="15" hidden="false" customHeight="false" outlineLevel="0" collapsed="false">
      <c r="H798" s="40"/>
    </row>
    <row r="799" customFormat="false" ht="15" hidden="false" customHeight="false" outlineLevel="0" collapsed="false">
      <c r="H799" s="40"/>
    </row>
    <row r="800" customFormat="false" ht="15" hidden="false" customHeight="false" outlineLevel="0" collapsed="false">
      <c r="H800" s="40"/>
    </row>
    <row r="801" customFormat="false" ht="15" hidden="false" customHeight="false" outlineLevel="0" collapsed="false">
      <c r="H801" s="40"/>
    </row>
    <row r="802" customFormat="false" ht="15" hidden="false" customHeight="false" outlineLevel="0" collapsed="false">
      <c r="H802" s="40"/>
    </row>
    <row r="803" customFormat="false" ht="15" hidden="false" customHeight="false" outlineLevel="0" collapsed="false">
      <c r="H803" s="40"/>
    </row>
    <row r="804" customFormat="false" ht="15" hidden="false" customHeight="false" outlineLevel="0" collapsed="false">
      <c r="H804" s="40"/>
    </row>
    <row r="805" customFormat="false" ht="15" hidden="false" customHeight="false" outlineLevel="0" collapsed="false">
      <c r="H805" s="40"/>
    </row>
    <row r="806" customFormat="false" ht="15" hidden="false" customHeight="false" outlineLevel="0" collapsed="false">
      <c r="H806" s="40"/>
    </row>
    <row r="807" customFormat="false" ht="15" hidden="false" customHeight="false" outlineLevel="0" collapsed="false">
      <c r="H807" s="40"/>
    </row>
    <row r="808" customFormat="false" ht="15" hidden="false" customHeight="false" outlineLevel="0" collapsed="false">
      <c r="H808" s="40"/>
    </row>
    <row r="809" customFormat="false" ht="15" hidden="false" customHeight="false" outlineLevel="0" collapsed="false">
      <c r="H809" s="40"/>
    </row>
    <row r="810" customFormat="false" ht="15" hidden="false" customHeight="false" outlineLevel="0" collapsed="false">
      <c r="H810" s="40"/>
    </row>
    <row r="811" customFormat="false" ht="15" hidden="false" customHeight="false" outlineLevel="0" collapsed="false">
      <c r="H811" s="40"/>
    </row>
    <row r="812" customFormat="false" ht="15" hidden="false" customHeight="false" outlineLevel="0" collapsed="false">
      <c r="H812" s="40"/>
    </row>
    <row r="813" customFormat="false" ht="15" hidden="false" customHeight="false" outlineLevel="0" collapsed="false">
      <c r="H813" s="40"/>
    </row>
    <row r="814" customFormat="false" ht="15" hidden="false" customHeight="false" outlineLevel="0" collapsed="false">
      <c r="H814" s="40"/>
    </row>
    <row r="815" customFormat="false" ht="15" hidden="false" customHeight="false" outlineLevel="0" collapsed="false">
      <c r="H815" s="40"/>
    </row>
    <row r="816" customFormat="false" ht="15" hidden="false" customHeight="false" outlineLevel="0" collapsed="false">
      <c r="H816" s="40"/>
    </row>
    <row r="817" customFormat="false" ht="15" hidden="false" customHeight="false" outlineLevel="0" collapsed="false">
      <c r="H817" s="40"/>
    </row>
    <row r="818" customFormat="false" ht="15" hidden="false" customHeight="false" outlineLevel="0" collapsed="false">
      <c r="H818" s="40"/>
    </row>
    <row r="819" customFormat="false" ht="15" hidden="false" customHeight="false" outlineLevel="0" collapsed="false">
      <c r="H819" s="40"/>
    </row>
    <row r="820" customFormat="false" ht="15" hidden="false" customHeight="false" outlineLevel="0" collapsed="false">
      <c r="H820" s="40"/>
    </row>
    <row r="821" customFormat="false" ht="15" hidden="false" customHeight="false" outlineLevel="0" collapsed="false">
      <c r="H821" s="40"/>
    </row>
    <row r="822" customFormat="false" ht="15" hidden="false" customHeight="false" outlineLevel="0" collapsed="false">
      <c r="H822" s="40"/>
    </row>
    <row r="823" customFormat="false" ht="15" hidden="false" customHeight="false" outlineLevel="0" collapsed="false">
      <c r="H823" s="40"/>
    </row>
    <row r="824" customFormat="false" ht="15" hidden="false" customHeight="false" outlineLevel="0" collapsed="false">
      <c r="H824" s="40"/>
    </row>
    <row r="825" customFormat="false" ht="15" hidden="false" customHeight="false" outlineLevel="0" collapsed="false">
      <c r="H825" s="40"/>
    </row>
    <row r="826" customFormat="false" ht="15" hidden="false" customHeight="false" outlineLevel="0" collapsed="false">
      <c r="H826" s="40"/>
    </row>
    <row r="827" customFormat="false" ht="15" hidden="false" customHeight="false" outlineLevel="0" collapsed="false">
      <c r="H827" s="40"/>
    </row>
    <row r="828" customFormat="false" ht="15" hidden="false" customHeight="false" outlineLevel="0" collapsed="false">
      <c r="H828" s="40"/>
    </row>
    <row r="829" customFormat="false" ht="15" hidden="false" customHeight="false" outlineLevel="0" collapsed="false">
      <c r="H829" s="40"/>
    </row>
    <row r="830" customFormat="false" ht="15" hidden="false" customHeight="false" outlineLevel="0" collapsed="false">
      <c r="H830" s="40"/>
    </row>
    <row r="831" customFormat="false" ht="15" hidden="false" customHeight="false" outlineLevel="0" collapsed="false">
      <c r="H831" s="40"/>
    </row>
    <row r="832" customFormat="false" ht="15" hidden="false" customHeight="false" outlineLevel="0" collapsed="false">
      <c r="H832" s="40"/>
    </row>
    <row r="833" customFormat="false" ht="15" hidden="false" customHeight="false" outlineLevel="0" collapsed="false">
      <c r="H833" s="40"/>
    </row>
    <row r="834" customFormat="false" ht="15" hidden="false" customHeight="false" outlineLevel="0" collapsed="false">
      <c r="H834" s="40"/>
    </row>
    <row r="835" customFormat="false" ht="15" hidden="false" customHeight="false" outlineLevel="0" collapsed="false">
      <c r="H835" s="40"/>
    </row>
    <row r="836" customFormat="false" ht="15" hidden="false" customHeight="false" outlineLevel="0" collapsed="false">
      <c r="H836" s="40"/>
    </row>
    <row r="837" customFormat="false" ht="15" hidden="false" customHeight="false" outlineLevel="0" collapsed="false">
      <c r="H837" s="40"/>
    </row>
    <row r="838" customFormat="false" ht="15" hidden="false" customHeight="false" outlineLevel="0" collapsed="false">
      <c r="H838" s="40"/>
    </row>
    <row r="839" customFormat="false" ht="15" hidden="false" customHeight="false" outlineLevel="0" collapsed="false">
      <c r="H839" s="40"/>
    </row>
    <row r="840" customFormat="false" ht="15" hidden="false" customHeight="false" outlineLevel="0" collapsed="false">
      <c r="H840" s="40"/>
    </row>
    <row r="841" customFormat="false" ht="15" hidden="false" customHeight="false" outlineLevel="0" collapsed="false">
      <c r="H841" s="40"/>
    </row>
    <row r="842" customFormat="false" ht="15" hidden="false" customHeight="false" outlineLevel="0" collapsed="false">
      <c r="H842" s="40"/>
    </row>
    <row r="843" customFormat="false" ht="15" hidden="false" customHeight="false" outlineLevel="0" collapsed="false">
      <c r="H843" s="40"/>
    </row>
    <row r="844" customFormat="false" ht="15" hidden="false" customHeight="false" outlineLevel="0" collapsed="false">
      <c r="H844" s="40"/>
    </row>
    <row r="845" customFormat="false" ht="15" hidden="false" customHeight="false" outlineLevel="0" collapsed="false">
      <c r="H845" s="40"/>
    </row>
    <row r="846" customFormat="false" ht="15" hidden="false" customHeight="false" outlineLevel="0" collapsed="false">
      <c r="H846" s="40"/>
    </row>
    <row r="847" customFormat="false" ht="15" hidden="false" customHeight="false" outlineLevel="0" collapsed="false">
      <c r="H847" s="40"/>
    </row>
    <row r="848" customFormat="false" ht="15" hidden="false" customHeight="false" outlineLevel="0" collapsed="false">
      <c r="H848" s="40"/>
    </row>
    <row r="849" customFormat="false" ht="15" hidden="false" customHeight="false" outlineLevel="0" collapsed="false">
      <c r="H849" s="40"/>
    </row>
    <row r="850" customFormat="false" ht="15" hidden="false" customHeight="false" outlineLevel="0" collapsed="false">
      <c r="H850" s="40"/>
    </row>
    <row r="851" customFormat="false" ht="15" hidden="false" customHeight="false" outlineLevel="0" collapsed="false">
      <c r="H851" s="40"/>
    </row>
    <row r="852" customFormat="false" ht="15" hidden="false" customHeight="false" outlineLevel="0" collapsed="false">
      <c r="H852" s="40"/>
    </row>
    <row r="853" customFormat="false" ht="15" hidden="false" customHeight="false" outlineLevel="0" collapsed="false">
      <c r="H853" s="40"/>
    </row>
    <row r="854" customFormat="false" ht="15" hidden="false" customHeight="false" outlineLevel="0" collapsed="false">
      <c r="H854" s="40"/>
    </row>
    <row r="855" customFormat="false" ht="15" hidden="false" customHeight="false" outlineLevel="0" collapsed="false">
      <c r="H855" s="40"/>
    </row>
    <row r="856" customFormat="false" ht="15" hidden="false" customHeight="false" outlineLevel="0" collapsed="false">
      <c r="H856" s="40"/>
    </row>
    <row r="857" customFormat="false" ht="15" hidden="false" customHeight="false" outlineLevel="0" collapsed="false">
      <c r="H857" s="40"/>
    </row>
    <row r="858" customFormat="false" ht="15" hidden="false" customHeight="false" outlineLevel="0" collapsed="false">
      <c r="H858" s="40"/>
    </row>
    <row r="859" customFormat="false" ht="15" hidden="false" customHeight="false" outlineLevel="0" collapsed="false">
      <c r="H859" s="40"/>
    </row>
    <row r="860" customFormat="false" ht="15" hidden="false" customHeight="false" outlineLevel="0" collapsed="false">
      <c r="H860" s="40"/>
    </row>
    <row r="861" customFormat="false" ht="15" hidden="false" customHeight="false" outlineLevel="0" collapsed="false">
      <c r="H861" s="40"/>
    </row>
    <row r="862" customFormat="false" ht="15" hidden="false" customHeight="false" outlineLevel="0" collapsed="false">
      <c r="H862" s="40"/>
    </row>
    <row r="863" customFormat="false" ht="15" hidden="false" customHeight="false" outlineLevel="0" collapsed="false">
      <c r="H863" s="40"/>
    </row>
    <row r="864" customFormat="false" ht="15" hidden="false" customHeight="false" outlineLevel="0" collapsed="false">
      <c r="H864" s="40"/>
    </row>
    <row r="865" customFormat="false" ht="15" hidden="false" customHeight="false" outlineLevel="0" collapsed="false">
      <c r="H865" s="40"/>
    </row>
    <row r="866" customFormat="false" ht="15" hidden="false" customHeight="false" outlineLevel="0" collapsed="false">
      <c r="H866" s="40"/>
    </row>
    <row r="867" customFormat="false" ht="15" hidden="false" customHeight="false" outlineLevel="0" collapsed="false">
      <c r="H867" s="40"/>
    </row>
    <row r="868" customFormat="false" ht="15" hidden="false" customHeight="false" outlineLevel="0" collapsed="false">
      <c r="H868" s="40"/>
    </row>
    <row r="869" customFormat="false" ht="15" hidden="false" customHeight="false" outlineLevel="0" collapsed="false">
      <c r="H869" s="40"/>
    </row>
    <row r="870" customFormat="false" ht="15" hidden="false" customHeight="false" outlineLevel="0" collapsed="false">
      <c r="H870" s="40"/>
    </row>
    <row r="871" customFormat="false" ht="15" hidden="false" customHeight="false" outlineLevel="0" collapsed="false">
      <c r="H871" s="40"/>
    </row>
    <row r="872" customFormat="false" ht="15" hidden="false" customHeight="false" outlineLevel="0" collapsed="false">
      <c r="H872" s="40"/>
    </row>
    <row r="873" customFormat="false" ht="15" hidden="false" customHeight="false" outlineLevel="0" collapsed="false">
      <c r="H873" s="40"/>
    </row>
    <row r="874" customFormat="false" ht="15" hidden="false" customHeight="false" outlineLevel="0" collapsed="false">
      <c r="H874" s="40"/>
    </row>
    <row r="875" customFormat="false" ht="15" hidden="false" customHeight="false" outlineLevel="0" collapsed="false">
      <c r="H875" s="40"/>
    </row>
    <row r="876" customFormat="false" ht="15" hidden="false" customHeight="false" outlineLevel="0" collapsed="false">
      <c r="H876" s="40"/>
    </row>
    <row r="877" customFormat="false" ht="15" hidden="false" customHeight="false" outlineLevel="0" collapsed="false">
      <c r="H877" s="40"/>
    </row>
    <row r="878" customFormat="false" ht="15" hidden="false" customHeight="false" outlineLevel="0" collapsed="false">
      <c r="H878" s="40"/>
    </row>
    <row r="879" customFormat="false" ht="15" hidden="false" customHeight="false" outlineLevel="0" collapsed="false">
      <c r="H879" s="40"/>
    </row>
    <row r="880" customFormat="false" ht="15" hidden="false" customHeight="false" outlineLevel="0" collapsed="false">
      <c r="H880" s="40"/>
    </row>
    <row r="881" customFormat="false" ht="15" hidden="false" customHeight="false" outlineLevel="0" collapsed="false">
      <c r="H881" s="40"/>
    </row>
    <row r="882" customFormat="false" ht="15" hidden="false" customHeight="false" outlineLevel="0" collapsed="false">
      <c r="H882" s="40"/>
    </row>
    <row r="883" customFormat="false" ht="15" hidden="false" customHeight="false" outlineLevel="0" collapsed="false">
      <c r="H883" s="40"/>
    </row>
    <row r="884" customFormat="false" ht="15" hidden="false" customHeight="false" outlineLevel="0" collapsed="false">
      <c r="H884" s="40"/>
    </row>
    <row r="885" customFormat="false" ht="15" hidden="false" customHeight="false" outlineLevel="0" collapsed="false">
      <c r="H885" s="40"/>
    </row>
    <row r="886" customFormat="false" ht="15" hidden="false" customHeight="false" outlineLevel="0" collapsed="false">
      <c r="H886" s="40"/>
    </row>
    <row r="887" customFormat="false" ht="15" hidden="false" customHeight="false" outlineLevel="0" collapsed="false">
      <c r="H887" s="40"/>
    </row>
    <row r="888" customFormat="false" ht="15" hidden="false" customHeight="false" outlineLevel="0" collapsed="false">
      <c r="H888" s="40"/>
    </row>
    <row r="889" customFormat="false" ht="15" hidden="false" customHeight="false" outlineLevel="0" collapsed="false">
      <c r="H889" s="40"/>
    </row>
    <row r="890" customFormat="false" ht="15" hidden="false" customHeight="false" outlineLevel="0" collapsed="false">
      <c r="H890" s="40"/>
    </row>
    <row r="891" customFormat="false" ht="15" hidden="false" customHeight="false" outlineLevel="0" collapsed="false">
      <c r="H891" s="40"/>
    </row>
    <row r="892" customFormat="false" ht="15" hidden="false" customHeight="false" outlineLevel="0" collapsed="false">
      <c r="H892" s="40"/>
    </row>
    <row r="893" customFormat="false" ht="15" hidden="false" customHeight="false" outlineLevel="0" collapsed="false">
      <c r="H893" s="40"/>
    </row>
    <row r="894" customFormat="false" ht="15" hidden="false" customHeight="false" outlineLevel="0" collapsed="false">
      <c r="H894" s="40"/>
    </row>
    <row r="895" customFormat="false" ht="15" hidden="false" customHeight="false" outlineLevel="0" collapsed="false">
      <c r="H895" s="40"/>
    </row>
    <row r="896" customFormat="false" ht="15" hidden="false" customHeight="false" outlineLevel="0" collapsed="false">
      <c r="H896" s="40"/>
    </row>
    <row r="897" customFormat="false" ht="15" hidden="false" customHeight="false" outlineLevel="0" collapsed="false">
      <c r="H897" s="40"/>
    </row>
    <row r="898" customFormat="false" ht="15" hidden="false" customHeight="false" outlineLevel="0" collapsed="false">
      <c r="H898" s="40"/>
    </row>
    <row r="899" customFormat="false" ht="15" hidden="false" customHeight="false" outlineLevel="0" collapsed="false">
      <c r="H899" s="40"/>
    </row>
    <row r="900" customFormat="false" ht="15" hidden="false" customHeight="false" outlineLevel="0" collapsed="false">
      <c r="H900" s="40"/>
    </row>
    <row r="901" customFormat="false" ht="15" hidden="false" customHeight="false" outlineLevel="0" collapsed="false">
      <c r="H901" s="40"/>
    </row>
    <row r="902" customFormat="false" ht="15" hidden="false" customHeight="false" outlineLevel="0" collapsed="false">
      <c r="H902" s="40"/>
    </row>
    <row r="903" customFormat="false" ht="15" hidden="false" customHeight="false" outlineLevel="0" collapsed="false">
      <c r="H903" s="40"/>
    </row>
    <row r="904" customFormat="false" ht="15" hidden="false" customHeight="false" outlineLevel="0" collapsed="false">
      <c r="H904" s="40"/>
    </row>
    <row r="905" customFormat="false" ht="15" hidden="false" customHeight="false" outlineLevel="0" collapsed="false">
      <c r="H905" s="40"/>
    </row>
    <row r="906" customFormat="false" ht="15" hidden="false" customHeight="false" outlineLevel="0" collapsed="false">
      <c r="H906" s="40"/>
    </row>
    <row r="907" customFormat="false" ht="15" hidden="false" customHeight="false" outlineLevel="0" collapsed="false">
      <c r="H907" s="40"/>
    </row>
    <row r="908" customFormat="false" ht="15" hidden="false" customHeight="false" outlineLevel="0" collapsed="false">
      <c r="H908" s="40"/>
    </row>
    <row r="909" customFormat="false" ht="15" hidden="false" customHeight="false" outlineLevel="0" collapsed="false">
      <c r="H909" s="40"/>
    </row>
    <row r="910" customFormat="false" ht="15" hidden="false" customHeight="false" outlineLevel="0" collapsed="false">
      <c r="H910" s="40"/>
    </row>
    <row r="911" customFormat="false" ht="15" hidden="false" customHeight="false" outlineLevel="0" collapsed="false">
      <c r="H911" s="40"/>
    </row>
    <row r="912" customFormat="false" ht="15" hidden="false" customHeight="false" outlineLevel="0" collapsed="false">
      <c r="H912" s="40"/>
    </row>
    <row r="913" customFormat="false" ht="15" hidden="false" customHeight="false" outlineLevel="0" collapsed="false">
      <c r="H913" s="40"/>
    </row>
    <row r="914" customFormat="false" ht="15" hidden="false" customHeight="false" outlineLevel="0" collapsed="false">
      <c r="H914" s="40"/>
    </row>
    <row r="915" customFormat="false" ht="15" hidden="false" customHeight="false" outlineLevel="0" collapsed="false">
      <c r="H915" s="40"/>
    </row>
    <row r="916" customFormat="false" ht="15" hidden="false" customHeight="false" outlineLevel="0" collapsed="false">
      <c r="H916" s="40"/>
    </row>
    <row r="917" customFormat="false" ht="15" hidden="false" customHeight="false" outlineLevel="0" collapsed="false">
      <c r="H917" s="40"/>
    </row>
    <row r="918" customFormat="false" ht="15" hidden="false" customHeight="false" outlineLevel="0" collapsed="false">
      <c r="H918" s="40"/>
    </row>
    <row r="919" customFormat="false" ht="15" hidden="false" customHeight="false" outlineLevel="0" collapsed="false">
      <c r="H919" s="40"/>
    </row>
    <row r="920" customFormat="false" ht="15" hidden="false" customHeight="false" outlineLevel="0" collapsed="false">
      <c r="H920" s="40"/>
    </row>
    <row r="921" customFormat="false" ht="15" hidden="false" customHeight="false" outlineLevel="0" collapsed="false">
      <c r="H921" s="40"/>
    </row>
    <row r="922" customFormat="false" ht="15" hidden="false" customHeight="false" outlineLevel="0" collapsed="false">
      <c r="H922" s="40"/>
    </row>
    <row r="923" customFormat="false" ht="15" hidden="false" customHeight="false" outlineLevel="0" collapsed="false">
      <c r="H923" s="40"/>
    </row>
    <row r="924" customFormat="false" ht="15" hidden="false" customHeight="false" outlineLevel="0" collapsed="false">
      <c r="H924" s="40"/>
    </row>
    <row r="925" customFormat="false" ht="15" hidden="false" customHeight="false" outlineLevel="0" collapsed="false">
      <c r="H925" s="40"/>
    </row>
    <row r="926" customFormat="false" ht="15" hidden="false" customHeight="false" outlineLevel="0" collapsed="false">
      <c r="H926" s="40"/>
    </row>
    <row r="927" customFormat="false" ht="15" hidden="false" customHeight="false" outlineLevel="0" collapsed="false">
      <c r="H927" s="40"/>
    </row>
    <row r="928" customFormat="false" ht="15" hidden="false" customHeight="false" outlineLevel="0" collapsed="false">
      <c r="H928" s="40"/>
    </row>
    <row r="929" customFormat="false" ht="15" hidden="false" customHeight="false" outlineLevel="0" collapsed="false">
      <c r="H929" s="40"/>
    </row>
    <row r="930" customFormat="false" ht="15" hidden="false" customHeight="false" outlineLevel="0" collapsed="false">
      <c r="H930" s="40"/>
    </row>
    <row r="931" customFormat="false" ht="15" hidden="false" customHeight="false" outlineLevel="0" collapsed="false">
      <c r="H931" s="40"/>
    </row>
    <row r="932" customFormat="false" ht="15" hidden="false" customHeight="false" outlineLevel="0" collapsed="false">
      <c r="H932" s="40"/>
    </row>
    <row r="933" customFormat="false" ht="15" hidden="false" customHeight="false" outlineLevel="0" collapsed="false">
      <c r="H933" s="40"/>
    </row>
    <row r="934" customFormat="false" ht="15" hidden="false" customHeight="false" outlineLevel="0" collapsed="false">
      <c r="H934" s="40"/>
    </row>
    <row r="935" customFormat="false" ht="15" hidden="false" customHeight="false" outlineLevel="0" collapsed="false">
      <c r="H935" s="40"/>
    </row>
    <row r="936" customFormat="false" ht="15" hidden="false" customHeight="false" outlineLevel="0" collapsed="false">
      <c r="H936" s="40"/>
    </row>
    <row r="937" customFormat="false" ht="15" hidden="false" customHeight="false" outlineLevel="0" collapsed="false">
      <c r="H937" s="40"/>
    </row>
    <row r="938" customFormat="false" ht="15" hidden="false" customHeight="false" outlineLevel="0" collapsed="false">
      <c r="H938" s="40"/>
    </row>
    <row r="939" customFormat="false" ht="15" hidden="false" customHeight="false" outlineLevel="0" collapsed="false">
      <c r="H939" s="40"/>
    </row>
    <row r="940" customFormat="false" ht="15" hidden="false" customHeight="false" outlineLevel="0" collapsed="false">
      <c r="H940" s="40"/>
    </row>
    <row r="941" customFormat="false" ht="15" hidden="false" customHeight="false" outlineLevel="0" collapsed="false">
      <c r="H941" s="40"/>
    </row>
    <row r="942" customFormat="false" ht="15" hidden="false" customHeight="false" outlineLevel="0" collapsed="false">
      <c r="H942" s="40"/>
    </row>
    <row r="943" customFormat="false" ht="15" hidden="false" customHeight="false" outlineLevel="0" collapsed="false">
      <c r="H943" s="40"/>
    </row>
    <row r="944" customFormat="false" ht="15" hidden="false" customHeight="false" outlineLevel="0" collapsed="false">
      <c r="H944" s="40"/>
    </row>
    <row r="945" customFormat="false" ht="15" hidden="false" customHeight="false" outlineLevel="0" collapsed="false">
      <c r="H945" s="40"/>
    </row>
    <row r="946" customFormat="false" ht="15" hidden="false" customHeight="false" outlineLevel="0" collapsed="false">
      <c r="H946" s="40"/>
    </row>
    <row r="947" customFormat="false" ht="15" hidden="false" customHeight="false" outlineLevel="0" collapsed="false">
      <c r="H947" s="40"/>
    </row>
    <row r="948" customFormat="false" ht="15" hidden="false" customHeight="false" outlineLevel="0" collapsed="false">
      <c r="H948" s="40"/>
    </row>
    <row r="949" customFormat="false" ht="15" hidden="false" customHeight="false" outlineLevel="0" collapsed="false">
      <c r="H949" s="40"/>
    </row>
    <row r="950" customFormat="false" ht="15" hidden="false" customHeight="false" outlineLevel="0" collapsed="false">
      <c r="H950" s="40"/>
    </row>
    <row r="951" customFormat="false" ht="15" hidden="false" customHeight="false" outlineLevel="0" collapsed="false">
      <c r="H951" s="40"/>
    </row>
    <row r="952" customFormat="false" ht="15" hidden="false" customHeight="false" outlineLevel="0" collapsed="false">
      <c r="H952" s="40"/>
    </row>
    <row r="953" customFormat="false" ht="15" hidden="false" customHeight="false" outlineLevel="0" collapsed="false">
      <c r="H953" s="40"/>
    </row>
    <row r="954" customFormat="false" ht="15" hidden="false" customHeight="false" outlineLevel="0" collapsed="false">
      <c r="H954" s="40"/>
    </row>
    <row r="955" customFormat="false" ht="15" hidden="false" customHeight="false" outlineLevel="0" collapsed="false">
      <c r="H955" s="40"/>
    </row>
    <row r="956" customFormat="false" ht="15" hidden="false" customHeight="false" outlineLevel="0" collapsed="false">
      <c r="H956" s="40"/>
    </row>
    <row r="957" customFormat="false" ht="15" hidden="false" customHeight="false" outlineLevel="0" collapsed="false">
      <c r="H957" s="40"/>
    </row>
    <row r="958" customFormat="false" ht="15" hidden="false" customHeight="false" outlineLevel="0" collapsed="false">
      <c r="H958" s="40"/>
    </row>
    <row r="959" customFormat="false" ht="15" hidden="false" customHeight="false" outlineLevel="0" collapsed="false">
      <c r="H959" s="40"/>
    </row>
    <row r="960" customFormat="false" ht="15" hidden="false" customHeight="false" outlineLevel="0" collapsed="false">
      <c r="H960" s="40"/>
    </row>
    <row r="961" customFormat="false" ht="15" hidden="false" customHeight="false" outlineLevel="0" collapsed="false">
      <c r="H961" s="40"/>
    </row>
    <row r="962" customFormat="false" ht="15" hidden="false" customHeight="false" outlineLevel="0" collapsed="false">
      <c r="H962" s="40"/>
    </row>
    <row r="963" customFormat="false" ht="15" hidden="false" customHeight="false" outlineLevel="0" collapsed="false">
      <c r="H963" s="40"/>
    </row>
    <row r="964" customFormat="false" ht="15" hidden="false" customHeight="false" outlineLevel="0" collapsed="false">
      <c r="H964" s="40"/>
    </row>
    <row r="965" customFormat="false" ht="15" hidden="false" customHeight="false" outlineLevel="0" collapsed="false">
      <c r="H965" s="40"/>
    </row>
    <row r="966" customFormat="false" ht="15" hidden="false" customHeight="false" outlineLevel="0" collapsed="false">
      <c r="H966" s="40"/>
    </row>
    <row r="967" customFormat="false" ht="15" hidden="false" customHeight="false" outlineLevel="0" collapsed="false">
      <c r="H967" s="40"/>
    </row>
    <row r="968" customFormat="false" ht="15" hidden="false" customHeight="false" outlineLevel="0" collapsed="false">
      <c r="H968" s="40"/>
    </row>
    <row r="969" customFormat="false" ht="15" hidden="false" customHeight="false" outlineLevel="0" collapsed="false">
      <c r="H969" s="40"/>
    </row>
    <row r="970" customFormat="false" ht="15" hidden="false" customHeight="false" outlineLevel="0" collapsed="false">
      <c r="H970" s="40"/>
    </row>
    <row r="971" customFormat="false" ht="15" hidden="false" customHeight="false" outlineLevel="0" collapsed="false">
      <c r="H971" s="40"/>
    </row>
    <row r="972" customFormat="false" ht="15" hidden="false" customHeight="false" outlineLevel="0" collapsed="false">
      <c r="H972" s="40"/>
    </row>
    <row r="973" customFormat="false" ht="15" hidden="false" customHeight="false" outlineLevel="0" collapsed="false">
      <c r="H973" s="40"/>
    </row>
    <row r="974" customFormat="false" ht="15" hidden="false" customHeight="false" outlineLevel="0" collapsed="false">
      <c r="H974" s="40"/>
    </row>
    <row r="975" customFormat="false" ht="15" hidden="false" customHeight="false" outlineLevel="0" collapsed="false">
      <c r="H975" s="40"/>
    </row>
    <row r="976" customFormat="false" ht="15" hidden="false" customHeight="false" outlineLevel="0" collapsed="false">
      <c r="H976" s="40"/>
    </row>
    <row r="977" customFormat="false" ht="15" hidden="false" customHeight="false" outlineLevel="0" collapsed="false">
      <c r="H977" s="40"/>
    </row>
    <row r="978" customFormat="false" ht="15" hidden="false" customHeight="false" outlineLevel="0" collapsed="false">
      <c r="H978" s="40"/>
    </row>
    <row r="979" customFormat="false" ht="15" hidden="false" customHeight="false" outlineLevel="0" collapsed="false">
      <c r="H979" s="40"/>
    </row>
    <row r="980" customFormat="false" ht="15" hidden="false" customHeight="false" outlineLevel="0" collapsed="false">
      <c r="H980" s="40"/>
    </row>
    <row r="981" customFormat="false" ht="15" hidden="false" customHeight="false" outlineLevel="0" collapsed="false">
      <c r="H981" s="40"/>
    </row>
    <row r="982" customFormat="false" ht="15" hidden="false" customHeight="false" outlineLevel="0" collapsed="false">
      <c r="H982" s="40"/>
    </row>
    <row r="983" customFormat="false" ht="15" hidden="false" customHeight="false" outlineLevel="0" collapsed="false">
      <c r="H983" s="40"/>
    </row>
    <row r="984" customFormat="false" ht="15" hidden="false" customHeight="false" outlineLevel="0" collapsed="false">
      <c r="H984" s="40"/>
    </row>
    <row r="985" customFormat="false" ht="15" hidden="false" customHeight="false" outlineLevel="0" collapsed="false">
      <c r="H985" s="40"/>
    </row>
    <row r="986" customFormat="false" ht="15" hidden="false" customHeight="false" outlineLevel="0" collapsed="false">
      <c r="H986" s="40"/>
    </row>
    <row r="987" customFormat="false" ht="15" hidden="false" customHeight="false" outlineLevel="0" collapsed="false">
      <c r="H987" s="40"/>
    </row>
    <row r="988" customFormat="false" ht="15" hidden="false" customHeight="false" outlineLevel="0" collapsed="false">
      <c r="H988" s="40"/>
    </row>
    <row r="989" customFormat="false" ht="15" hidden="false" customHeight="false" outlineLevel="0" collapsed="false">
      <c r="H989" s="40"/>
    </row>
    <row r="990" customFormat="false" ht="15" hidden="false" customHeight="false" outlineLevel="0" collapsed="false">
      <c r="H990" s="40"/>
    </row>
    <row r="991" customFormat="false" ht="15" hidden="false" customHeight="false" outlineLevel="0" collapsed="false">
      <c r="H991" s="40"/>
    </row>
    <row r="992" customFormat="false" ht="15" hidden="false" customHeight="false" outlineLevel="0" collapsed="false">
      <c r="H992" s="40"/>
    </row>
    <row r="993" customFormat="false" ht="15" hidden="false" customHeight="false" outlineLevel="0" collapsed="false">
      <c r="H993" s="40"/>
    </row>
    <row r="994" customFormat="false" ht="15" hidden="false" customHeight="false" outlineLevel="0" collapsed="false">
      <c r="H994" s="40"/>
    </row>
    <row r="995" customFormat="false" ht="15" hidden="false" customHeight="false" outlineLevel="0" collapsed="false">
      <c r="H995" s="40"/>
    </row>
    <row r="996" customFormat="false" ht="15" hidden="false" customHeight="false" outlineLevel="0" collapsed="false">
      <c r="H996" s="40"/>
    </row>
    <row r="997" customFormat="false" ht="15" hidden="false" customHeight="false" outlineLevel="0" collapsed="false">
      <c r="H997" s="40"/>
    </row>
    <row r="998" customFormat="false" ht="15" hidden="false" customHeight="false" outlineLevel="0" collapsed="false">
      <c r="H998" s="40"/>
    </row>
    <row r="999" customFormat="false" ht="15" hidden="false" customHeight="false" outlineLevel="0" collapsed="false">
      <c r="H999" s="40"/>
    </row>
    <row r="1000" customFormat="false" ht="15" hidden="false" customHeight="false" outlineLevel="0" collapsed="false">
      <c r="H1000" s="40"/>
    </row>
  </sheetData>
  <autoFilter ref="A1:H1000"/>
  <conditionalFormatting sqref="B2:B1000">
    <cfRule type="cellIs" priority="2" operator="equal" aboveAverage="0" equalAverage="0" bottom="0" percent="0" rank="0" text="" dxfId="16">
      <formula>"sell"</formula>
    </cfRule>
    <cfRule type="cellIs" priority="3" operator="equal" aboveAverage="0" equalAverage="0" bottom="0" percent="0" rank="0" text="" dxfId="12">
      <formula>"buy"</formula>
    </cfRule>
  </conditionalFormatting>
  <dataValidations count="4">
    <dataValidation allowBlank="true" error="id must be a whole number &gt;= 1." errorStyle="stop" errorTitle="Invalid id" operator="greaterThanOrEqual" showDropDown="false" showErrorMessage="true" showInputMessage="false" sqref="A2:A1000" type="whole">
      <formula1>1</formula1>
      <formula2>0</formula2>
    </dataValidation>
    <dataValidation allowBlank="true" error="Pick a value from the listings.kind list (see the Lists sheet)." errorStyle="stop" errorTitle="Not in list" operator="between" showDropDown="false" showErrorMessage="true" showInputMessage="false" sqref="B2:B1000" type="list">
      <formula1>Lists!$F$2:$F$3</formula1>
      <formula2>0</formula2>
    </dataValidation>
    <dataValidation allowBlank="true" error="Pick a value from the listings.status list (see the Lists sheet)." errorStyle="stop" errorTitle="Not in list" operator="between" showDropDown="false" showErrorMessage="true" showInputMessage="false" sqref="G2:G1000" type="list">
      <formula1>Lists!$G$2:$G$3</formula1>
      <formula2>0</formula2>
    </dataValidation>
    <dataValidation allowBlank="true" error="WhatsApp ids look like 919876543210@c.us (or ...@lid). Empty is fine for camera items." errorStyle="warning" errorTitle="Check format" operator="between" showDropDown="false" showErrorMessage="true" showInputMessage="false" sqref="F2:F1000" type="custom">
      <formula1>OR(F2="",RIGHT(F2,5)="@c.us",RIGHT(F2,4)="@lid")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21"/>
  </cols>
  <sheetData>
    <row r="1" customFormat="false" ht="21.75" hidden="false" customHeight="true" outlineLevel="0" collapsed="false">
      <c r="A1" s="6" t="s">
        <v>132</v>
      </c>
      <c r="B1" s="6" t="s">
        <v>270</v>
      </c>
      <c r="C1" s="6" t="s">
        <v>185</v>
      </c>
      <c r="D1" s="6" t="s">
        <v>278</v>
      </c>
    </row>
    <row r="2" customFormat="false" ht="15" hidden="false" customHeight="false" outlineLevel="0" collapsed="false">
      <c r="A2" s="36" t="s">
        <v>268</v>
      </c>
      <c r="B2" s="36" t="s">
        <v>272</v>
      </c>
      <c r="C2" s="36" t="s">
        <v>626</v>
      </c>
      <c r="D2" s="37" t="s">
        <v>280</v>
      </c>
    </row>
    <row r="3" customFormat="false" ht="15" hidden="false" customHeight="false" outlineLevel="0" collapsed="false">
      <c r="A3" s="38" t="s">
        <v>627</v>
      </c>
      <c r="B3" s="38" t="s">
        <v>628</v>
      </c>
      <c r="C3" s="38" t="s">
        <v>277</v>
      </c>
      <c r="D3" s="39" t="s">
        <v>629</v>
      </c>
    </row>
    <row r="4" customFormat="false" ht="15" hidden="false" customHeight="false" outlineLevel="0" collapsed="false">
      <c r="A4" s="36" t="s">
        <v>630</v>
      </c>
      <c r="B4" s="36" t="s">
        <v>631</v>
      </c>
      <c r="C4" s="36" t="s">
        <v>277</v>
      </c>
      <c r="D4" s="37" t="s">
        <v>632</v>
      </c>
    </row>
    <row r="5" customFormat="false" ht="15" hidden="false" customHeight="false" outlineLevel="0" collapsed="false">
      <c r="A5" s="38" t="s">
        <v>633</v>
      </c>
      <c r="B5" s="38" t="s">
        <v>634</v>
      </c>
      <c r="C5" s="38" t="s">
        <v>626</v>
      </c>
      <c r="D5" s="39" t="s">
        <v>635</v>
      </c>
    </row>
    <row r="6" customFormat="false" ht="15" hidden="false" customHeight="false" outlineLevel="0" collapsed="false">
      <c r="D6" s="40"/>
    </row>
    <row r="7" customFormat="false" ht="15" hidden="false" customHeight="false" outlineLevel="0" collapsed="false">
      <c r="D7" s="40"/>
    </row>
    <row r="8" customFormat="false" ht="15" hidden="false" customHeight="false" outlineLevel="0" collapsed="false">
      <c r="D8" s="40"/>
    </row>
    <row r="9" customFormat="false" ht="15" hidden="false" customHeight="false" outlineLevel="0" collapsed="false">
      <c r="D9" s="40"/>
    </row>
    <row r="10" customFormat="false" ht="15" hidden="false" customHeight="false" outlineLevel="0" collapsed="false">
      <c r="D10" s="40"/>
    </row>
    <row r="11" customFormat="false" ht="15" hidden="false" customHeight="false" outlineLevel="0" collapsed="false">
      <c r="D11" s="40"/>
    </row>
    <row r="12" customFormat="false" ht="15" hidden="false" customHeight="false" outlineLevel="0" collapsed="false">
      <c r="D12" s="40"/>
    </row>
    <row r="13" customFormat="false" ht="15" hidden="false" customHeight="false" outlineLevel="0" collapsed="false">
      <c r="D13" s="40"/>
    </row>
    <row r="14" customFormat="false" ht="15" hidden="false" customHeight="false" outlineLevel="0" collapsed="false">
      <c r="D14" s="40"/>
    </row>
    <row r="15" customFormat="false" ht="15" hidden="false" customHeight="false" outlineLevel="0" collapsed="false">
      <c r="D15" s="40"/>
    </row>
    <row r="16" customFormat="false" ht="15" hidden="false" customHeight="false" outlineLevel="0" collapsed="false">
      <c r="D16" s="40"/>
    </row>
    <row r="17" customFormat="false" ht="15" hidden="false" customHeight="false" outlineLevel="0" collapsed="false">
      <c r="D17" s="40"/>
    </row>
    <row r="18" customFormat="false" ht="15" hidden="false" customHeight="false" outlineLevel="0" collapsed="false">
      <c r="D18" s="40"/>
    </row>
    <row r="19" customFormat="false" ht="15" hidden="false" customHeight="false" outlineLevel="0" collapsed="false">
      <c r="D19" s="40"/>
    </row>
    <row r="20" customFormat="false" ht="15" hidden="false" customHeight="false" outlineLevel="0" collapsed="false">
      <c r="D20" s="40"/>
    </row>
    <row r="21" customFormat="false" ht="15" hidden="false" customHeight="false" outlineLevel="0" collapsed="false">
      <c r="D21" s="40"/>
    </row>
    <row r="22" customFormat="false" ht="15" hidden="false" customHeight="false" outlineLevel="0" collapsed="false">
      <c r="D22" s="40"/>
    </row>
    <row r="23" customFormat="false" ht="15" hidden="false" customHeight="false" outlineLevel="0" collapsed="false">
      <c r="D23" s="40"/>
    </row>
    <row r="24" customFormat="false" ht="15" hidden="false" customHeight="false" outlineLevel="0" collapsed="false">
      <c r="D24" s="40"/>
    </row>
    <row r="25" customFormat="false" ht="15" hidden="false" customHeight="false" outlineLevel="0" collapsed="false">
      <c r="D25" s="40"/>
    </row>
    <row r="26" customFormat="false" ht="15" hidden="false" customHeight="false" outlineLevel="0" collapsed="false">
      <c r="D26" s="40"/>
    </row>
    <row r="27" customFormat="false" ht="15" hidden="false" customHeight="false" outlineLevel="0" collapsed="false">
      <c r="D27" s="40"/>
    </row>
    <row r="28" customFormat="false" ht="15" hidden="false" customHeight="false" outlineLevel="0" collapsed="false">
      <c r="D28" s="40"/>
    </row>
    <row r="29" customFormat="false" ht="15" hidden="false" customHeight="false" outlineLevel="0" collapsed="false">
      <c r="D29" s="40"/>
    </row>
    <row r="30" customFormat="false" ht="15" hidden="false" customHeight="false" outlineLevel="0" collapsed="false">
      <c r="D30" s="40"/>
    </row>
    <row r="31" customFormat="false" ht="15" hidden="false" customHeight="false" outlineLevel="0" collapsed="false">
      <c r="D31" s="40"/>
    </row>
    <row r="32" customFormat="false" ht="15" hidden="false" customHeight="false" outlineLevel="0" collapsed="false">
      <c r="D32" s="40"/>
    </row>
    <row r="33" customFormat="false" ht="15" hidden="false" customHeight="false" outlineLevel="0" collapsed="false">
      <c r="D33" s="40"/>
    </row>
    <row r="34" customFormat="false" ht="15" hidden="false" customHeight="false" outlineLevel="0" collapsed="false">
      <c r="D34" s="40"/>
    </row>
    <row r="35" customFormat="false" ht="15" hidden="false" customHeight="false" outlineLevel="0" collapsed="false">
      <c r="D35" s="40"/>
    </row>
    <row r="36" customFormat="false" ht="15" hidden="false" customHeight="false" outlineLevel="0" collapsed="false">
      <c r="D36" s="40"/>
    </row>
    <row r="37" customFormat="false" ht="15" hidden="false" customHeight="false" outlineLevel="0" collapsed="false">
      <c r="D37" s="40"/>
    </row>
    <row r="38" customFormat="false" ht="15" hidden="false" customHeight="false" outlineLevel="0" collapsed="false">
      <c r="D38" s="40"/>
    </row>
    <row r="39" customFormat="false" ht="15" hidden="false" customHeight="false" outlineLevel="0" collapsed="false">
      <c r="D39" s="40"/>
    </row>
    <row r="40" customFormat="false" ht="15" hidden="false" customHeight="false" outlineLevel="0" collapsed="false">
      <c r="D40" s="40"/>
    </row>
    <row r="41" customFormat="false" ht="15" hidden="false" customHeight="false" outlineLevel="0" collapsed="false">
      <c r="D41" s="40"/>
    </row>
    <row r="42" customFormat="false" ht="15" hidden="false" customHeight="false" outlineLevel="0" collapsed="false">
      <c r="D42" s="40"/>
    </row>
    <row r="43" customFormat="false" ht="15" hidden="false" customHeight="false" outlineLevel="0" collapsed="false">
      <c r="D43" s="40"/>
    </row>
    <row r="44" customFormat="false" ht="15" hidden="false" customHeight="false" outlineLevel="0" collapsed="false">
      <c r="D44" s="40"/>
    </row>
    <row r="45" customFormat="false" ht="15" hidden="false" customHeight="false" outlineLevel="0" collapsed="false">
      <c r="D45" s="40"/>
    </row>
    <row r="46" customFormat="false" ht="15" hidden="false" customHeight="false" outlineLevel="0" collapsed="false">
      <c r="D46" s="40"/>
    </row>
    <row r="47" customFormat="false" ht="15" hidden="false" customHeight="false" outlineLevel="0" collapsed="false">
      <c r="D47" s="40"/>
    </row>
    <row r="48" customFormat="false" ht="15" hidden="false" customHeight="false" outlineLevel="0" collapsed="false">
      <c r="D48" s="40"/>
    </row>
    <row r="49" customFormat="false" ht="15" hidden="false" customHeight="false" outlineLevel="0" collapsed="false">
      <c r="D49" s="40"/>
    </row>
    <row r="50" customFormat="false" ht="15" hidden="false" customHeight="false" outlineLevel="0" collapsed="false">
      <c r="D50" s="40"/>
    </row>
    <row r="51" customFormat="false" ht="15" hidden="false" customHeight="false" outlineLevel="0" collapsed="false">
      <c r="D51" s="40"/>
    </row>
    <row r="52" customFormat="false" ht="15" hidden="false" customHeight="false" outlineLevel="0" collapsed="false">
      <c r="D52" s="40"/>
    </row>
    <row r="53" customFormat="false" ht="15" hidden="false" customHeight="false" outlineLevel="0" collapsed="false">
      <c r="D53" s="40"/>
    </row>
    <row r="54" customFormat="false" ht="15" hidden="false" customHeight="false" outlineLevel="0" collapsed="false">
      <c r="D54" s="40"/>
    </row>
    <row r="55" customFormat="false" ht="15" hidden="false" customHeight="false" outlineLevel="0" collapsed="false">
      <c r="D55" s="40"/>
    </row>
    <row r="56" customFormat="false" ht="15" hidden="false" customHeight="false" outlineLevel="0" collapsed="false">
      <c r="D56" s="40"/>
    </row>
    <row r="57" customFormat="false" ht="15" hidden="false" customHeight="false" outlineLevel="0" collapsed="false">
      <c r="D57" s="40"/>
    </row>
    <row r="58" customFormat="false" ht="15" hidden="false" customHeight="false" outlineLevel="0" collapsed="false">
      <c r="D58" s="40"/>
    </row>
    <row r="59" customFormat="false" ht="15" hidden="false" customHeight="false" outlineLevel="0" collapsed="false">
      <c r="D59" s="40"/>
    </row>
    <row r="60" customFormat="false" ht="15" hidden="false" customHeight="false" outlineLevel="0" collapsed="false">
      <c r="D60" s="40"/>
    </row>
    <row r="61" customFormat="false" ht="15" hidden="false" customHeight="false" outlineLevel="0" collapsed="false">
      <c r="D61" s="40"/>
    </row>
    <row r="62" customFormat="false" ht="15" hidden="false" customHeight="false" outlineLevel="0" collapsed="false">
      <c r="D62" s="40"/>
    </row>
    <row r="63" customFormat="false" ht="15" hidden="false" customHeight="false" outlineLevel="0" collapsed="false">
      <c r="D63" s="40"/>
    </row>
    <row r="64" customFormat="false" ht="15" hidden="false" customHeight="false" outlineLevel="0" collapsed="false">
      <c r="D64" s="40"/>
    </row>
    <row r="65" customFormat="false" ht="15" hidden="false" customHeight="false" outlineLevel="0" collapsed="false">
      <c r="D65" s="40"/>
    </row>
    <row r="66" customFormat="false" ht="15" hidden="false" customHeight="false" outlineLevel="0" collapsed="false">
      <c r="D66" s="40"/>
    </row>
    <row r="67" customFormat="false" ht="15" hidden="false" customHeight="false" outlineLevel="0" collapsed="false">
      <c r="D67" s="40"/>
    </row>
    <row r="68" customFormat="false" ht="15" hidden="false" customHeight="false" outlineLevel="0" collapsed="false">
      <c r="D68" s="40"/>
    </row>
    <row r="69" customFormat="false" ht="15" hidden="false" customHeight="false" outlineLevel="0" collapsed="false">
      <c r="D69" s="40"/>
    </row>
    <row r="70" customFormat="false" ht="15" hidden="false" customHeight="false" outlineLevel="0" collapsed="false">
      <c r="D70" s="40"/>
    </row>
    <row r="71" customFormat="false" ht="15" hidden="false" customHeight="false" outlineLevel="0" collapsed="false">
      <c r="D71" s="40"/>
    </row>
    <row r="72" customFormat="false" ht="15" hidden="false" customHeight="false" outlineLevel="0" collapsed="false">
      <c r="D72" s="40"/>
    </row>
    <row r="73" customFormat="false" ht="15" hidden="false" customHeight="false" outlineLevel="0" collapsed="false">
      <c r="D73" s="40"/>
    </row>
    <row r="74" customFormat="false" ht="15" hidden="false" customHeight="false" outlineLevel="0" collapsed="false">
      <c r="D74" s="40"/>
    </row>
    <row r="75" customFormat="false" ht="15" hidden="false" customHeight="false" outlineLevel="0" collapsed="false">
      <c r="D75" s="40"/>
    </row>
    <row r="76" customFormat="false" ht="15" hidden="false" customHeight="false" outlineLevel="0" collapsed="false">
      <c r="D76" s="40"/>
    </row>
    <row r="77" customFormat="false" ht="15" hidden="false" customHeight="false" outlineLevel="0" collapsed="false">
      <c r="D77" s="40"/>
    </row>
    <row r="78" customFormat="false" ht="15" hidden="false" customHeight="false" outlineLevel="0" collapsed="false">
      <c r="D78" s="40"/>
    </row>
    <row r="79" customFormat="false" ht="15" hidden="false" customHeight="false" outlineLevel="0" collapsed="false">
      <c r="D79" s="40"/>
    </row>
    <row r="80" customFormat="false" ht="15" hidden="false" customHeight="false" outlineLevel="0" collapsed="false">
      <c r="D80" s="40"/>
    </row>
    <row r="81" customFormat="false" ht="15" hidden="false" customHeight="false" outlineLevel="0" collapsed="false">
      <c r="D81" s="40"/>
    </row>
    <row r="82" customFormat="false" ht="15" hidden="false" customHeight="false" outlineLevel="0" collapsed="false">
      <c r="D82" s="40"/>
    </row>
    <row r="83" customFormat="false" ht="15" hidden="false" customHeight="false" outlineLevel="0" collapsed="false">
      <c r="D83" s="40"/>
    </row>
    <row r="84" customFormat="false" ht="15" hidden="false" customHeight="false" outlineLevel="0" collapsed="false">
      <c r="D84" s="40"/>
    </row>
    <row r="85" customFormat="false" ht="15" hidden="false" customHeight="false" outlineLevel="0" collapsed="false">
      <c r="D85" s="40"/>
    </row>
    <row r="86" customFormat="false" ht="15" hidden="false" customHeight="false" outlineLevel="0" collapsed="false">
      <c r="D86" s="40"/>
    </row>
    <row r="87" customFormat="false" ht="15" hidden="false" customHeight="false" outlineLevel="0" collapsed="false">
      <c r="D87" s="40"/>
    </row>
    <row r="88" customFormat="false" ht="15" hidden="false" customHeight="false" outlineLevel="0" collapsed="false">
      <c r="D88" s="40"/>
    </row>
    <row r="89" customFormat="false" ht="15" hidden="false" customHeight="false" outlineLevel="0" collapsed="false">
      <c r="D89" s="40"/>
    </row>
    <row r="90" customFormat="false" ht="15" hidden="false" customHeight="false" outlineLevel="0" collapsed="false">
      <c r="D90" s="40"/>
    </row>
    <row r="91" customFormat="false" ht="15" hidden="false" customHeight="false" outlineLevel="0" collapsed="false">
      <c r="D91" s="40"/>
    </row>
    <row r="92" customFormat="false" ht="15" hidden="false" customHeight="false" outlineLevel="0" collapsed="false">
      <c r="D92" s="40"/>
    </row>
    <row r="93" customFormat="false" ht="15" hidden="false" customHeight="false" outlineLevel="0" collapsed="false">
      <c r="D93" s="40"/>
    </row>
    <row r="94" customFormat="false" ht="15" hidden="false" customHeight="false" outlineLevel="0" collapsed="false">
      <c r="D94" s="40"/>
    </row>
    <row r="95" customFormat="false" ht="15" hidden="false" customHeight="false" outlineLevel="0" collapsed="false">
      <c r="D95" s="40"/>
    </row>
    <row r="96" customFormat="false" ht="15" hidden="false" customHeight="false" outlineLevel="0" collapsed="false">
      <c r="D96" s="40"/>
    </row>
    <row r="97" customFormat="false" ht="15" hidden="false" customHeight="false" outlineLevel="0" collapsed="false">
      <c r="D97" s="40"/>
    </row>
    <row r="98" customFormat="false" ht="15" hidden="false" customHeight="false" outlineLevel="0" collapsed="false">
      <c r="D98" s="40"/>
    </row>
    <row r="99" customFormat="false" ht="15" hidden="false" customHeight="false" outlineLevel="0" collapsed="false">
      <c r="D99" s="40"/>
    </row>
    <row r="100" customFormat="false" ht="15" hidden="false" customHeight="false" outlineLevel="0" collapsed="false">
      <c r="D100" s="40"/>
    </row>
    <row r="101" customFormat="false" ht="15" hidden="false" customHeight="false" outlineLevel="0" collapsed="false">
      <c r="D101" s="40"/>
    </row>
    <row r="102" customFormat="false" ht="15" hidden="false" customHeight="false" outlineLevel="0" collapsed="false">
      <c r="D102" s="40"/>
    </row>
    <row r="103" customFormat="false" ht="15" hidden="false" customHeight="false" outlineLevel="0" collapsed="false">
      <c r="D103" s="40"/>
    </row>
    <row r="104" customFormat="false" ht="15" hidden="false" customHeight="false" outlineLevel="0" collapsed="false">
      <c r="D104" s="40"/>
    </row>
    <row r="105" customFormat="false" ht="15" hidden="false" customHeight="false" outlineLevel="0" collapsed="false">
      <c r="D105" s="40"/>
    </row>
    <row r="106" customFormat="false" ht="15" hidden="false" customHeight="false" outlineLevel="0" collapsed="false">
      <c r="D106" s="40"/>
    </row>
    <row r="107" customFormat="false" ht="15" hidden="false" customHeight="false" outlineLevel="0" collapsed="false">
      <c r="D107" s="40"/>
    </row>
    <row r="108" customFormat="false" ht="15" hidden="false" customHeight="false" outlineLevel="0" collapsed="false">
      <c r="D108" s="40"/>
    </row>
    <row r="109" customFormat="false" ht="15" hidden="false" customHeight="false" outlineLevel="0" collapsed="false">
      <c r="D109" s="40"/>
    </row>
    <row r="110" customFormat="false" ht="15" hidden="false" customHeight="false" outlineLevel="0" collapsed="false">
      <c r="D110" s="40"/>
    </row>
    <row r="111" customFormat="false" ht="15" hidden="false" customHeight="false" outlineLevel="0" collapsed="false">
      <c r="D111" s="40"/>
    </row>
    <row r="112" customFormat="false" ht="15" hidden="false" customHeight="false" outlineLevel="0" collapsed="false">
      <c r="D112" s="40"/>
    </row>
    <row r="113" customFormat="false" ht="15" hidden="false" customHeight="false" outlineLevel="0" collapsed="false">
      <c r="D113" s="40"/>
    </row>
    <row r="114" customFormat="false" ht="15" hidden="false" customHeight="false" outlineLevel="0" collapsed="false">
      <c r="D114" s="40"/>
    </row>
    <row r="115" customFormat="false" ht="15" hidden="false" customHeight="false" outlineLevel="0" collapsed="false">
      <c r="D115" s="40"/>
    </row>
    <row r="116" customFormat="false" ht="15" hidden="false" customHeight="false" outlineLevel="0" collapsed="false">
      <c r="D116" s="40"/>
    </row>
    <row r="117" customFormat="false" ht="15" hidden="false" customHeight="false" outlineLevel="0" collapsed="false">
      <c r="D117" s="40"/>
    </row>
    <row r="118" customFormat="false" ht="15" hidden="false" customHeight="false" outlineLevel="0" collapsed="false">
      <c r="D118" s="40"/>
    </row>
    <row r="119" customFormat="false" ht="15" hidden="false" customHeight="false" outlineLevel="0" collapsed="false">
      <c r="D119" s="40"/>
    </row>
    <row r="120" customFormat="false" ht="15" hidden="false" customHeight="false" outlineLevel="0" collapsed="false">
      <c r="D120" s="40"/>
    </row>
    <row r="121" customFormat="false" ht="15" hidden="false" customHeight="false" outlineLevel="0" collapsed="false">
      <c r="D121" s="40"/>
    </row>
    <row r="122" customFormat="false" ht="15" hidden="false" customHeight="false" outlineLevel="0" collapsed="false">
      <c r="D122" s="40"/>
    </row>
    <row r="123" customFormat="false" ht="15" hidden="false" customHeight="false" outlineLevel="0" collapsed="false">
      <c r="D123" s="40"/>
    </row>
    <row r="124" customFormat="false" ht="15" hidden="false" customHeight="false" outlineLevel="0" collapsed="false">
      <c r="D124" s="40"/>
    </row>
    <row r="125" customFormat="false" ht="15" hidden="false" customHeight="false" outlineLevel="0" collapsed="false">
      <c r="D125" s="40"/>
    </row>
    <row r="126" customFormat="false" ht="15" hidden="false" customHeight="false" outlineLevel="0" collapsed="false">
      <c r="D126" s="40"/>
    </row>
    <row r="127" customFormat="false" ht="15" hidden="false" customHeight="false" outlineLevel="0" collapsed="false">
      <c r="D127" s="40"/>
    </row>
    <row r="128" customFormat="false" ht="15" hidden="false" customHeight="false" outlineLevel="0" collapsed="false">
      <c r="D128" s="40"/>
    </row>
    <row r="129" customFormat="false" ht="15" hidden="false" customHeight="false" outlineLevel="0" collapsed="false">
      <c r="D129" s="40"/>
    </row>
    <row r="130" customFormat="false" ht="15" hidden="false" customHeight="false" outlineLevel="0" collapsed="false">
      <c r="D130" s="40"/>
    </row>
    <row r="131" customFormat="false" ht="15" hidden="false" customHeight="false" outlineLevel="0" collapsed="false">
      <c r="D131" s="40"/>
    </row>
    <row r="132" customFormat="false" ht="15" hidden="false" customHeight="false" outlineLevel="0" collapsed="false">
      <c r="D132" s="40"/>
    </row>
    <row r="133" customFormat="false" ht="15" hidden="false" customHeight="false" outlineLevel="0" collapsed="false">
      <c r="D133" s="40"/>
    </row>
    <row r="134" customFormat="false" ht="15" hidden="false" customHeight="false" outlineLevel="0" collapsed="false">
      <c r="D134" s="40"/>
    </row>
    <row r="135" customFormat="false" ht="15" hidden="false" customHeight="false" outlineLevel="0" collapsed="false">
      <c r="D135" s="40"/>
    </row>
    <row r="136" customFormat="false" ht="15" hidden="false" customHeight="false" outlineLevel="0" collapsed="false">
      <c r="D136" s="40"/>
    </row>
    <row r="137" customFormat="false" ht="15" hidden="false" customHeight="false" outlineLevel="0" collapsed="false">
      <c r="D137" s="40"/>
    </row>
    <row r="138" customFormat="false" ht="15" hidden="false" customHeight="false" outlineLevel="0" collapsed="false">
      <c r="D138" s="40"/>
    </row>
    <row r="139" customFormat="false" ht="15" hidden="false" customHeight="false" outlineLevel="0" collapsed="false">
      <c r="D139" s="40"/>
    </row>
    <row r="140" customFormat="false" ht="15" hidden="false" customHeight="false" outlineLevel="0" collapsed="false">
      <c r="D140" s="40"/>
    </row>
    <row r="141" customFormat="false" ht="15" hidden="false" customHeight="false" outlineLevel="0" collapsed="false">
      <c r="D141" s="40"/>
    </row>
    <row r="142" customFormat="false" ht="15" hidden="false" customHeight="false" outlineLevel="0" collapsed="false">
      <c r="D142" s="40"/>
    </row>
    <row r="143" customFormat="false" ht="15" hidden="false" customHeight="false" outlineLevel="0" collapsed="false">
      <c r="D143" s="40"/>
    </row>
    <row r="144" customFormat="false" ht="15" hidden="false" customHeight="false" outlineLevel="0" collapsed="false">
      <c r="D144" s="40"/>
    </row>
    <row r="145" customFormat="false" ht="15" hidden="false" customHeight="false" outlineLevel="0" collapsed="false">
      <c r="D145" s="40"/>
    </row>
    <row r="146" customFormat="false" ht="15" hidden="false" customHeight="false" outlineLevel="0" collapsed="false">
      <c r="D146" s="40"/>
    </row>
    <row r="147" customFormat="false" ht="15" hidden="false" customHeight="false" outlineLevel="0" collapsed="false">
      <c r="D147" s="40"/>
    </row>
    <row r="148" customFormat="false" ht="15" hidden="false" customHeight="false" outlineLevel="0" collapsed="false">
      <c r="D148" s="40"/>
    </row>
    <row r="149" customFormat="false" ht="15" hidden="false" customHeight="false" outlineLevel="0" collapsed="false">
      <c r="D149" s="40"/>
    </row>
    <row r="150" customFormat="false" ht="15" hidden="false" customHeight="false" outlineLevel="0" collapsed="false">
      <c r="D150" s="40"/>
    </row>
    <row r="151" customFormat="false" ht="15" hidden="false" customHeight="false" outlineLevel="0" collapsed="false">
      <c r="D151" s="40"/>
    </row>
    <row r="152" customFormat="false" ht="15" hidden="false" customHeight="false" outlineLevel="0" collapsed="false">
      <c r="D152" s="40"/>
    </row>
    <row r="153" customFormat="false" ht="15" hidden="false" customHeight="false" outlineLevel="0" collapsed="false">
      <c r="D153" s="40"/>
    </row>
    <row r="154" customFormat="false" ht="15" hidden="false" customHeight="false" outlineLevel="0" collapsed="false">
      <c r="D154" s="40"/>
    </row>
    <row r="155" customFormat="false" ht="15" hidden="false" customHeight="false" outlineLevel="0" collapsed="false">
      <c r="D155" s="40"/>
    </row>
    <row r="156" customFormat="false" ht="15" hidden="false" customHeight="false" outlineLevel="0" collapsed="false">
      <c r="D156" s="40"/>
    </row>
    <row r="157" customFormat="false" ht="15" hidden="false" customHeight="false" outlineLevel="0" collapsed="false">
      <c r="D157" s="40"/>
    </row>
    <row r="158" customFormat="false" ht="15" hidden="false" customHeight="false" outlineLevel="0" collapsed="false">
      <c r="D158" s="40"/>
    </row>
    <row r="159" customFormat="false" ht="15" hidden="false" customHeight="false" outlineLevel="0" collapsed="false">
      <c r="D159" s="40"/>
    </row>
    <row r="160" customFormat="false" ht="15" hidden="false" customHeight="false" outlineLevel="0" collapsed="false">
      <c r="D160" s="40"/>
    </row>
    <row r="161" customFormat="false" ht="15" hidden="false" customHeight="false" outlineLevel="0" collapsed="false">
      <c r="D161" s="40"/>
    </row>
    <row r="162" customFormat="false" ht="15" hidden="false" customHeight="false" outlineLevel="0" collapsed="false">
      <c r="D162" s="40"/>
    </row>
    <row r="163" customFormat="false" ht="15" hidden="false" customHeight="false" outlineLevel="0" collapsed="false">
      <c r="D163" s="40"/>
    </row>
    <row r="164" customFormat="false" ht="15" hidden="false" customHeight="false" outlineLevel="0" collapsed="false">
      <c r="D164" s="40"/>
    </row>
    <row r="165" customFormat="false" ht="15" hidden="false" customHeight="false" outlineLevel="0" collapsed="false">
      <c r="D165" s="40"/>
    </row>
    <row r="166" customFormat="false" ht="15" hidden="false" customHeight="false" outlineLevel="0" collapsed="false">
      <c r="D166" s="40"/>
    </row>
    <row r="167" customFormat="false" ht="15" hidden="false" customHeight="false" outlineLevel="0" collapsed="false">
      <c r="D167" s="40"/>
    </row>
    <row r="168" customFormat="false" ht="15" hidden="false" customHeight="false" outlineLevel="0" collapsed="false">
      <c r="D168" s="40"/>
    </row>
    <row r="169" customFormat="false" ht="15" hidden="false" customHeight="false" outlineLevel="0" collapsed="false">
      <c r="D169" s="40"/>
    </row>
    <row r="170" customFormat="false" ht="15" hidden="false" customHeight="false" outlineLevel="0" collapsed="false">
      <c r="D170" s="40"/>
    </row>
    <row r="171" customFormat="false" ht="15" hidden="false" customHeight="false" outlineLevel="0" collapsed="false">
      <c r="D171" s="40"/>
    </row>
    <row r="172" customFormat="false" ht="15" hidden="false" customHeight="false" outlineLevel="0" collapsed="false">
      <c r="D172" s="40"/>
    </row>
    <row r="173" customFormat="false" ht="15" hidden="false" customHeight="false" outlineLevel="0" collapsed="false">
      <c r="D173" s="40"/>
    </row>
    <row r="174" customFormat="false" ht="15" hidden="false" customHeight="false" outlineLevel="0" collapsed="false">
      <c r="D174" s="40"/>
    </row>
    <row r="175" customFormat="false" ht="15" hidden="false" customHeight="false" outlineLevel="0" collapsed="false">
      <c r="D175" s="40"/>
    </row>
    <row r="176" customFormat="false" ht="15" hidden="false" customHeight="false" outlineLevel="0" collapsed="false">
      <c r="D176" s="40"/>
    </row>
    <row r="177" customFormat="false" ht="15" hidden="false" customHeight="false" outlineLevel="0" collapsed="false">
      <c r="D177" s="40"/>
    </row>
    <row r="178" customFormat="false" ht="15" hidden="false" customHeight="false" outlineLevel="0" collapsed="false">
      <c r="D178" s="40"/>
    </row>
    <row r="179" customFormat="false" ht="15" hidden="false" customHeight="false" outlineLevel="0" collapsed="false">
      <c r="D179" s="40"/>
    </row>
    <row r="180" customFormat="false" ht="15" hidden="false" customHeight="false" outlineLevel="0" collapsed="false">
      <c r="D180" s="40"/>
    </row>
    <row r="181" customFormat="false" ht="15" hidden="false" customHeight="false" outlineLevel="0" collapsed="false">
      <c r="D181" s="40"/>
    </row>
    <row r="182" customFormat="false" ht="15" hidden="false" customHeight="false" outlineLevel="0" collapsed="false">
      <c r="D182" s="40"/>
    </row>
    <row r="183" customFormat="false" ht="15" hidden="false" customHeight="false" outlineLevel="0" collapsed="false">
      <c r="D183" s="40"/>
    </row>
    <row r="184" customFormat="false" ht="15" hidden="false" customHeight="false" outlineLevel="0" collapsed="false">
      <c r="D184" s="40"/>
    </row>
    <row r="185" customFormat="false" ht="15" hidden="false" customHeight="false" outlineLevel="0" collapsed="false">
      <c r="D185" s="40"/>
    </row>
    <row r="186" customFormat="false" ht="15" hidden="false" customHeight="false" outlineLevel="0" collapsed="false">
      <c r="D186" s="40"/>
    </row>
    <row r="187" customFormat="false" ht="15" hidden="false" customHeight="false" outlineLevel="0" collapsed="false">
      <c r="D187" s="40"/>
    </row>
    <row r="188" customFormat="false" ht="15" hidden="false" customHeight="false" outlineLevel="0" collapsed="false">
      <c r="D188" s="40"/>
    </row>
    <row r="189" customFormat="false" ht="15" hidden="false" customHeight="false" outlineLevel="0" collapsed="false">
      <c r="D189" s="40"/>
    </row>
    <row r="190" customFormat="false" ht="15" hidden="false" customHeight="false" outlineLevel="0" collapsed="false">
      <c r="D190" s="40"/>
    </row>
    <row r="191" customFormat="false" ht="15" hidden="false" customHeight="false" outlineLevel="0" collapsed="false">
      <c r="D191" s="40"/>
    </row>
    <row r="192" customFormat="false" ht="15" hidden="false" customHeight="false" outlineLevel="0" collapsed="false">
      <c r="D192" s="40"/>
    </row>
    <row r="193" customFormat="false" ht="15" hidden="false" customHeight="false" outlineLevel="0" collapsed="false">
      <c r="D193" s="40"/>
    </row>
    <row r="194" customFormat="false" ht="15" hidden="false" customHeight="false" outlineLevel="0" collapsed="false">
      <c r="D194" s="40"/>
    </row>
    <row r="195" customFormat="false" ht="15" hidden="false" customHeight="false" outlineLevel="0" collapsed="false">
      <c r="D195" s="40"/>
    </row>
    <row r="196" customFormat="false" ht="15" hidden="false" customHeight="false" outlineLevel="0" collapsed="false">
      <c r="D196" s="40"/>
    </row>
    <row r="197" customFormat="false" ht="15" hidden="false" customHeight="false" outlineLevel="0" collapsed="false">
      <c r="D197" s="40"/>
    </row>
    <row r="198" customFormat="false" ht="15" hidden="false" customHeight="false" outlineLevel="0" collapsed="false">
      <c r="D198" s="40"/>
    </row>
    <row r="199" customFormat="false" ht="15" hidden="false" customHeight="false" outlineLevel="0" collapsed="false">
      <c r="D199" s="40"/>
    </row>
    <row r="200" customFormat="false" ht="15" hidden="false" customHeight="false" outlineLevel="0" collapsed="false">
      <c r="D200" s="40"/>
    </row>
    <row r="201" customFormat="false" ht="15" hidden="false" customHeight="false" outlineLevel="0" collapsed="false">
      <c r="D201" s="40"/>
    </row>
    <row r="202" customFormat="false" ht="15" hidden="false" customHeight="false" outlineLevel="0" collapsed="false">
      <c r="D202" s="40"/>
    </row>
    <row r="203" customFormat="false" ht="15" hidden="false" customHeight="false" outlineLevel="0" collapsed="false">
      <c r="D203" s="40"/>
    </row>
    <row r="204" customFormat="false" ht="15" hidden="false" customHeight="false" outlineLevel="0" collapsed="false">
      <c r="D204" s="40"/>
    </row>
    <row r="205" customFormat="false" ht="15" hidden="false" customHeight="false" outlineLevel="0" collapsed="false">
      <c r="D205" s="40"/>
    </row>
    <row r="206" customFormat="false" ht="15" hidden="false" customHeight="false" outlineLevel="0" collapsed="false">
      <c r="D206" s="40"/>
    </row>
    <row r="207" customFormat="false" ht="15" hidden="false" customHeight="false" outlineLevel="0" collapsed="false">
      <c r="D207" s="40"/>
    </row>
    <row r="208" customFormat="false" ht="15" hidden="false" customHeight="false" outlineLevel="0" collapsed="false">
      <c r="D208" s="40"/>
    </row>
    <row r="209" customFormat="false" ht="15" hidden="false" customHeight="false" outlineLevel="0" collapsed="false">
      <c r="D209" s="40"/>
    </row>
    <row r="210" customFormat="false" ht="15" hidden="false" customHeight="false" outlineLevel="0" collapsed="false">
      <c r="D210" s="40"/>
    </row>
    <row r="211" customFormat="false" ht="15" hidden="false" customHeight="false" outlineLevel="0" collapsed="false">
      <c r="D211" s="40"/>
    </row>
    <row r="212" customFormat="false" ht="15" hidden="false" customHeight="false" outlineLevel="0" collapsed="false">
      <c r="D212" s="40"/>
    </row>
    <row r="213" customFormat="false" ht="15" hidden="false" customHeight="false" outlineLevel="0" collapsed="false">
      <c r="D213" s="40"/>
    </row>
    <row r="214" customFormat="false" ht="15" hidden="false" customHeight="false" outlineLevel="0" collapsed="false">
      <c r="D214" s="40"/>
    </row>
    <row r="215" customFormat="false" ht="15" hidden="false" customHeight="false" outlineLevel="0" collapsed="false">
      <c r="D215" s="40"/>
    </row>
    <row r="216" customFormat="false" ht="15" hidden="false" customHeight="false" outlineLevel="0" collapsed="false">
      <c r="D216" s="40"/>
    </row>
    <row r="217" customFormat="false" ht="15" hidden="false" customHeight="false" outlineLevel="0" collapsed="false">
      <c r="D217" s="40"/>
    </row>
    <row r="218" customFormat="false" ht="15" hidden="false" customHeight="false" outlineLevel="0" collapsed="false">
      <c r="D218" s="40"/>
    </row>
    <row r="219" customFormat="false" ht="15" hidden="false" customHeight="false" outlineLevel="0" collapsed="false">
      <c r="D219" s="40"/>
    </row>
    <row r="220" customFormat="false" ht="15" hidden="false" customHeight="false" outlineLevel="0" collapsed="false">
      <c r="D220" s="40"/>
    </row>
    <row r="221" customFormat="false" ht="15" hidden="false" customHeight="false" outlineLevel="0" collapsed="false">
      <c r="D221" s="40"/>
    </row>
    <row r="222" customFormat="false" ht="15" hidden="false" customHeight="false" outlineLevel="0" collapsed="false">
      <c r="D222" s="40"/>
    </row>
    <row r="223" customFormat="false" ht="15" hidden="false" customHeight="false" outlineLevel="0" collapsed="false">
      <c r="D223" s="40"/>
    </row>
    <row r="224" customFormat="false" ht="15" hidden="false" customHeight="false" outlineLevel="0" collapsed="false">
      <c r="D224" s="40"/>
    </row>
    <row r="225" customFormat="false" ht="15" hidden="false" customHeight="false" outlineLevel="0" collapsed="false">
      <c r="D225" s="40"/>
    </row>
    <row r="226" customFormat="false" ht="15" hidden="false" customHeight="false" outlineLevel="0" collapsed="false">
      <c r="D226" s="40"/>
    </row>
    <row r="227" customFormat="false" ht="15" hidden="false" customHeight="false" outlineLevel="0" collapsed="false">
      <c r="D227" s="40"/>
    </row>
    <row r="228" customFormat="false" ht="15" hidden="false" customHeight="false" outlineLevel="0" collapsed="false">
      <c r="D228" s="40"/>
    </row>
    <row r="229" customFormat="false" ht="15" hidden="false" customHeight="false" outlineLevel="0" collapsed="false">
      <c r="D229" s="40"/>
    </row>
    <row r="230" customFormat="false" ht="15" hidden="false" customHeight="false" outlineLevel="0" collapsed="false">
      <c r="D230" s="40"/>
    </row>
    <row r="231" customFormat="false" ht="15" hidden="false" customHeight="false" outlineLevel="0" collapsed="false">
      <c r="D231" s="40"/>
    </row>
    <row r="232" customFormat="false" ht="15" hidden="false" customHeight="false" outlineLevel="0" collapsed="false">
      <c r="D232" s="40"/>
    </row>
    <row r="233" customFormat="false" ht="15" hidden="false" customHeight="false" outlineLevel="0" collapsed="false">
      <c r="D233" s="40"/>
    </row>
    <row r="234" customFormat="false" ht="15" hidden="false" customHeight="false" outlineLevel="0" collapsed="false">
      <c r="D234" s="40"/>
    </row>
    <row r="235" customFormat="false" ht="15" hidden="false" customHeight="false" outlineLevel="0" collapsed="false">
      <c r="D235" s="40"/>
    </row>
    <row r="236" customFormat="false" ht="15" hidden="false" customHeight="false" outlineLevel="0" collapsed="false">
      <c r="D236" s="40"/>
    </row>
    <row r="237" customFormat="false" ht="15" hidden="false" customHeight="false" outlineLevel="0" collapsed="false">
      <c r="D237" s="40"/>
    </row>
    <row r="238" customFormat="false" ht="15" hidden="false" customHeight="false" outlineLevel="0" collapsed="false">
      <c r="D238" s="40"/>
    </row>
    <row r="239" customFormat="false" ht="15" hidden="false" customHeight="false" outlineLevel="0" collapsed="false">
      <c r="D239" s="40"/>
    </row>
    <row r="240" customFormat="false" ht="15" hidden="false" customHeight="false" outlineLevel="0" collapsed="false">
      <c r="D240" s="40"/>
    </row>
    <row r="241" customFormat="false" ht="15" hidden="false" customHeight="false" outlineLevel="0" collapsed="false">
      <c r="D241" s="40"/>
    </row>
    <row r="242" customFormat="false" ht="15" hidden="false" customHeight="false" outlineLevel="0" collapsed="false">
      <c r="D242" s="40"/>
    </row>
    <row r="243" customFormat="false" ht="15" hidden="false" customHeight="false" outlineLevel="0" collapsed="false">
      <c r="D243" s="40"/>
    </row>
    <row r="244" customFormat="false" ht="15" hidden="false" customHeight="false" outlineLevel="0" collapsed="false">
      <c r="D244" s="40"/>
    </row>
    <row r="245" customFormat="false" ht="15" hidden="false" customHeight="false" outlineLevel="0" collapsed="false">
      <c r="D245" s="40"/>
    </row>
    <row r="246" customFormat="false" ht="15" hidden="false" customHeight="false" outlineLevel="0" collapsed="false">
      <c r="D246" s="40"/>
    </row>
    <row r="247" customFormat="false" ht="15" hidden="false" customHeight="false" outlineLevel="0" collapsed="false">
      <c r="D247" s="40"/>
    </row>
    <row r="248" customFormat="false" ht="15" hidden="false" customHeight="false" outlineLevel="0" collapsed="false">
      <c r="D248" s="40"/>
    </row>
    <row r="249" customFormat="false" ht="15" hidden="false" customHeight="false" outlineLevel="0" collapsed="false">
      <c r="D249" s="40"/>
    </row>
    <row r="250" customFormat="false" ht="15" hidden="false" customHeight="false" outlineLevel="0" collapsed="false">
      <c r="D250" s="40"/>
    </row>
    <row r="251" customFormat="false" ht="15" hidden="false" customHeight="false" outlineLevel="0" collapsed="false">
      <c r="D251" s="40"/>
    </row>
    <row r="252" customFormat="false" ht="15" hidden="false" customHeight="false" outlineLevel="0" collapsed="false">
      <c r="D252" s="40"/>
    </row>
    <row r="253" customFormat="false" ht="15" hidden="false" customHeight="false" outlineLevel="0" collapsed="false">
      <c r="D253" s="40"/>
    </row>
    <row r="254" customFormat="false" ht="15" hidden="false" customHeight="false" outlineLevel="0" collapsed="false">
      <c r="D254" s="40"/>
    </row>
    <row r="255" customFormat="false" ht="15" hidden="false" customHeight="false" outlineLevel="0" collapsed="false">
      <c r="D255" s="40"/>
    </row>
    <row r="256" customFormat="false" ht="15" hidden="false" customHeight="false" outlineLevel="0" collapsed="false">
      <c r="D256" s="40"/>
    </row>
    <row r="257" customFormat="false" ht="15" hidden="false" customHeight="false" outlineLevel="0" collapsed="false">
      <c r="D257" s="40"/>
    </row>
    <row r="258" customFormat="false" ht="15" hidden="false" customHeight="false" outlineLevel="0" collapsed="false">
      <c r="D258" s="40"/>
    </row>
    <row r="259" customFormat="false" ht="15" hidden="false" customHeight="false" outlineLevel="0" collapsed="false">
      <c r="D259" s="40"/>
    </row>
    <row r="260" customFormat="false" ht="15" hidden="false" customHeight="false" outlineLevel="0" collapsed="false">
      <c r="D260" s="40"/>
    </row>
    <row r="261" customFormat="false" ht="15" hidden="false" customHeight="false" outlineLevel="0" collapsed="false">
      <c r="D261" s="40"/>
    </row>
    <row r="262" customFormat="false" ht="15" hidden="false" customHeight="false" outlineLevel="0" collapsed="false">
      <c r="D262" s="40"/>
    </row>
    <row r="263" customFormat="false" ht="15" hidden="false" customHeight="false" outlineLevel="0" collapsed="false">
      <c r="D263" s="40"/>
    </row>
    <row r="264" customFormat="false" ht="15" hidden="false" customHeight="false" outlineLevel="0" collapsed="false">
      <c r="D264" s="40"/>
    </row>
    <row r="265" customFormat="false" ht="15" hidden="false" customHeight="false" outlineLevel="0" collapsed="false">
      <c r="D265" s="40"/>
    </row>
    <row r="266" customFormat="false" ht="15" hidden="false" customHeight="false" outlineLevel="0" collapsed="false">
      <c r="D266" s="40"/>
    </row>
    <row r="267" customFormat="false" ht="15" hidden="false" customHeight="false" outlineLevel="0" collapsed="false">
      <c r="D267" s="40"/>
    </row>
    <row r="268" customFormat="false" ht="15" hidden="false" customHeight="false" outlineLevel="0" collapsed="false">
      <c r="D268" s="40"/>
    </row>
    <row r="269" customFormat="false" ht="15" hidden="false" customHeight="false" outlineLevel="0" collapsed="false">
      <c r="D269" s="40"/>
    </row>
    <row r="270" customFormat="false" ht="15" hidden="false" customHeight="false" outlineLevel="0" collapsed="false">
      <c r="D270" s="40"/>
    </row>
    <row r="271" customFormat="false" ht="15" hidden="false" customHeight="false" outlineLevel="0" collapsed="false">
      <c r="D271" s="40"/>
    </row>
    <row r="272" customFormat="false" ht="15" hidden="false" customHeight="false" outlineLevel="0" collapsed="false">
      <c r="D272" s="40"/>
    </row>
    <row r="273" customFormat="false" ht="15" hidden="false" customHeight="false" outlineLevel="0" collapsed="false">
      <c r="D273" s="40"/>
    </row>
    <row r="274" customFormat="false" ht="15" hidden="false" customHeight="false" outlineLevel="0" collapsed="false">
      <c r="D274" s="40"/>
    </row>
    <row r="275" customFormat="false" ht="15" hidden="false" customHeight="false" outlineLevel="0" collapsed="false">
      <c r="D275" s="40"/>
    </row>
    <row r="276" customFormat="false" ht="15" hidden="false" customHeight="false" outlineLevel="0" collapsed="false">
      <c r="D276" s="40"/>
    </row>
    <row r="277" customFormat="false" ht="15" hidden="false" customHeight="false" outlineLevel="0" collapsed="false">
      <c r="D277" s="40"/>
    </row>
    <row r="278" customFormat="false" ht="15" hidden="false" customHeight="false" outlineLevel="0" collapsed="false">
      <c r="D278" s="40"/>
    </row>
    <row r="279" customFormat="false" ht="15" hidden="false" customHeight="false" outlineLevel="0" collapsed="false">
      <c r="D279" s="40"/>
    </row>
    <row r="280" customFormat="false" ht="15" hidden="false" customHeight="false" outlineLevel="0" collapsed="false">
      <c r="D280" s="40"/>
    </row>
    <row r="281" customFormat="false" ht="15" hidden="false" customHeight="false" outlineLevel="0" collapsed="false">
      <c r="D281" s="40"/>
    </row>
    <row r="282" customFormat="false" ht="15" hidden="false" customHeight="false" outlineLevel="0" collapsed="false">
      <c r="D282" s="40"/>
    </row>
    <row r="283" customFormat="false" ht="15" hidden="false" customHeight="false" outlineLevel="0" collapsed="false">
      <c r="D283" s="40"/>
    </row>
    <row r="284" customFormat="false" ht="15" hidden="false" customHeight="false" outlineLevel="0" collapsed="false">
      <c r="D284" s="40"/>
    </row>
    <row r="285" customFormat="false" ht="15" hidden="false" customHeight="false" outlineLevel="0" collapsed="false">
      <c r="D285" s="40"/>
    </row>
    <row r="286" customFormat="false" ht="15" hidden="false" customHeight="false" outlineLevel="0" collapsed="false">
      <c r="D286" s="40"/>
    </row>
    <row r="287" customFormat="false" ht="15" hidden="false" customHeight="false" outlineLevel="0" collapsed="false">
      <c r="D287" s="40"/>
    </row>
    <row r="288" customFormat="false" ht="15" hidden="false" customHeight="false" outlineLevel="0" collapsed="false">
      <c r="D288" s="40"/>
    </row>
    <row r="289" customFormat="false" ht="15" hidden="false" customHeight="false" outlineLevel="0" collapsed="false">
      <c r="D289" s="40"/>
    </row>
    <row r="290" customFormat="false" ht="15" hidden="false" customHeight="false" outlineLevel="0" collapsed="false">
      <c r="D290" s="40"/>
    </row>
    <row r="291" customFormat="false" ht="15" hidden="false" customHeight="false" outlineLevel="0" collapsed="false">
      <c r="D291" s="40"/>
    </row>
    <row r="292" customFormat="false" ht="15" hidden="false" customHeight="false" outlineLevel="0" collapsed="false">
      <c r="D292" s="40"/>
    </row>
    <row r="293" customFormat="false" ht="15" hidden="false" customHeight="false" outlineLevel="0" collapsed="false">
      <c r="D293" s="40"/>
    </row>
    <row r="294" customFormat="false" ht="15" hidden="false" customHeight="false" outlineLevel="0" collapsed="false">
      <c r="D294" s="40"/>
    </row>
    <row r="295" customFormat="false" ht="15" hidden="false" customHeight="false" outlineLevel="0" collapsed="false">
      <c r="D295" s="40"/>
    </row>
    <row r="296" customFormat="false" ht="15" hidden="false" customHeight="false" outlineLevel="0" collapsed="false">
      <c r="D296" s="40"/>
    </row>
    <row r="297" customFormat="false" ht="15" hidden="false" customHeight="false" outlineLevel="0" collapsed="false">
      <c r="D297" s="40"/>
    </row>
    <row r="298" customFormat="false" ht="15" hidden="false" customHeight="false" outlineLevel="0" collapsed="false">
      <c r="D298" s="40"/>
    </row>
    <row r="299" customFormat="false" ht="15" hidden="false" customHeight="false" outlineLevel="0" collapsed="false">
      <c r="D299" s="40"/>
    </row>
    <row r="300" customFormat="false" ht="15" hidden="false" customHeight="false" outlineLevel="0" collapsed="false">
      <c r="D300" s="40"/>
    </row>
    <row r="301" customFormat="false" ht="15" hidden="false" customHeight="false" outlineLevel="0" collapsed="false">
      <c r="D301" s="40"/>
    </row>
    <row r="302" customFormat="false" ht="15" hidden="false" customHeight="false" outlineLevel="0" collapsed="false">
      <c r="D302" s="40"/>
    </row>
    <row r="303" customFormat="false" ht="15" hidden="false" customHeight="false" outlineLevel="0" collapsed="false">
      <c r="D303" s="40"/>
    </row>
    <row r="304" customFormat="false" ht="15" hidden="false" customHeight="false" outlineLevel="0" collapsed="false">
      <c r="D304" s="40"/>
    </row>
    <row r="305" customFormat="false" ht="15" hidden="false" customHeight="false" outlineLevel="0" collapsed="false">
      <c r="D305" s="40"/>
    </row>
    <row r="306" customFormat="false" ht="15" hidden="false" customHeight="false" outlineLevel="0" collapsed="false">
      <c r="D306" s="40"/>
    </row>
    <row r="307" customFormat="false" ht="15" hidden="false" customHeight="false" outlineLevel="0" collapsed="false">
      <c r="D307" s="40"/>
    </row>
    <row r="308" customFormat="false" ht="15" hidden="false" customHeight="false" outlineLevel="0" collapsed="false">
      <c r="D308" s="40"/>
    </row>
    <row r="309" customFormat="false" ht="15" hidden="false" customHeight="false" outlineLevel="0" collapsed="false">
      <c r="D309" s="40"/>
    </row>
    <row r="310" customFormat="false" ht="15" hidden="false" customHeight="false" outlineLevel="0" collapsed="false">
      <c r="D310" s="40"/>
    </row>
    <row r="311" customFormat="false" ht="15" hidden="false" customHeight="false" outlineLevel="0" collapsed="false">
      <c r="D311" s="40"/>
    </row>
    <row r="312" customFormat="false" ht="15" hidden="false" customHeight="false" outlineLevel="0" collapsed="false">
      <c r="D312" s="40"/>
    </row>
    <row r="313" customFormat="false" ht="15" hidden="false" customHeight="false" outlineLevel="0" collapsed="false">
      <c r="D313" s="40"/>
    </row>
    <row r="314" customFormat="false" ht="15" hidden="false" customHeight="false" outlineLevel="0" collapsed="false">
      <c r="D314" s="40"/>
    </row>
    <row r="315" customFormat="false" ht="15" hidden="false" customHeight="false" outlineLevel="0" collapsed="false">
      <c r="D315" s="40"/>
    </row>
    <row r="316" customFormat="false" ht="15" hidden="false" customHeight="false" outlineLevel="0" collapsed="false">
      <c r="D316" s="40"/>
    </row>
    <row r="317" customFormat="false" ht="15" hidden="false" customHeight="false" outlineLevel="0" collapsed="false">
      <c r="D317" s="40"/>
    </row>
    <row r="318" customFormat="false" ht="15" hidden="false" customHeight="false" outlineLevel="0" collapsed="false">
      <c r="D318" s="40"/>
    </row>
    <row r="319" customFormat="false" ht="15" hidden="false" customHeight="false" outlineLevel="0" collapsed="false">
      <c r="D319" s="40"/>
    </row>
    <row r="320" customFormat="false" ht="15" hidden="false" customHeight="false" outlineLevel="0" collapsed="false">
      <c r="D320" s="40"/>
    </row>
    <row r="321" customFormat="false" ht="15" hidden="false" customHeight="false" outlineLevel="0" collapsed="false">
      <c r="D321" s="40"/>
    </row>
    <row r="322" customFormat="false" ht="15" hidden="false" customHeight="false" outlineLevel="0" collapsed="false">
      <c r="D322" s="40"/>
    </row>
    <row r="323" customFormat="false" ht="15" hidden="false" customHeight="false" outlineLevel="0" collapsed="false">
      <c r="D323" s="40"/>
    </row>
    <row r="324" customFormat="false" ht="15" hidden="false" customHeight="false" outlineLevel="0" collapsed="false">
      <c r="D324" s="40"/>
    </row>
    <row r="325" customFormat="false" ht="15" hidden="false" customHeight="false" outlineLevel="0" collapsed="false">
      <c r="D325" s="40"/>
    </row>
    <row r="326" customFormat="false" ht="15" hidden="false" customHeight="false" outlineLevel="0" collapsed="false">
      <c r="D326" s="40"/>
    </row>
    <row r="327" customFormat="false" ht="15" hidden="false" customHeight="false" outlineLevel="0" collapsed="false">
      <c r="D327" s="40"/>
    </row>
    <row r="328" customFormat="false" ht="15" hidden="false" customHeight="false" outlineLevel="0" collapsed="false">
      <c r="D328" s="40"/>
    </row>
    <row r="329" customFormat="false" ht="15" hidden="false" customHeight="false" outlineLevel="0" collapsed="false">
      <c r="D329" s="40"/>
    </row>
    <row r="330" customFormat="false" ht="15" hidden="false" customHeight="false" outlineLevel="0" collapsed="false">
      <c r="D330" s="40"/>
    </row>
    <row r="331" customFormat="false" ht="15" hidden="false" customHeight="false" outlineLevel="0" collapsed="false">
      <c r="D331" s="40"/>
    </row>
    <row r="332" customFormat="false" ht="15" hidden="false" customHeight="false" outlineLevel="0" collapsed="false">
      <c r="D332" s="40"/>
    </row>
    <row r="333" customFormat="false" ht="15" hidden="false" customHeight="false" outlineLevel="0" collapsed="false">
      <c r="D333" s="40"/>
    </row>
    <row r="334" customFormat="false" ht="15" hidden="false" customHeight="false" outlineLevel="0" collapsed="false">
      <c r="D334" s="40"/>
    </row>
    <row r="335" customFormat="false" ht="15" hidden="false" customHeight="false" outlineLevel="0" collapsed="false">
      <c r="D335" s="40"/>
    </row>
    <row r="336" customFormat="false" ht="15" hidden="false" customHeight="false" outlineLevel="0" collapsed="false">
      <c r="D336" s="40"/>
    </row>
    <row r="337" customFormat="false" ht="15" hidden="false" customHeight="false" outlineLevel="0" collapsed="false">
      <c r="D337" s="40"/>
    </row>
    <row r="338" customFormat="false" ht="15" hidden="false" customHeight="false" outlineLevel="0" collapsed="false">
      <c r="D338" s="40"/>
    </row>
    <row r="339" customFormat="false" ht="15" hidden="false" customHeight="false" outlineLevel="0" collapsed="false">
      <c r="D339" s="40"/>
    </row>
    <row r="340" customFormat="false" ht="15" hidden="false" customHeight="false" outlineLevel="0" collapsed="false">
      <c r="D340" s="40"/>
    </row>
    <row r="341" customFormat="false" ht="15" hidden="false" customHeight="false" outlineLevel="0" collapsed="false">
      <c r="D341" s="40"/>
    </row>
    <row r="342" customFormat="false" ht="15" hidden="false" customHeight="false" outlineLevel="0" collapsed="false">
      <c r="D342" s="40"/>
    </row>
    <row r="343" customFormat="false" ht="15" hidden="false" customHeight="false" outlineLevel="0" collapsed="false">
      <c r="D343" s="40"/>
    </row>
    <row r="344" customFormat="false" ht="15" hidden="false" customHeight="false" outlineLevel="0" collapsed="false">
      <c r="D344" s="40"/>
    </row>
    <row r="345" customFormat="false" ht="15" hidden="false" customHeight="false" outlineLevel="0" collapsed="false">
      <c r="D345" s="40"/>
    </row>
    <row r="346" customFormat="false" ht="15" hidden="false" customHeight="false" outlineLevel="0" collapsed="false">
      <c r="D346" s="40"/>
    </row>
    <row r="347" customFormat="false" ht="15" hidden="false" customHeight="false" outlineLevel="0" collapsed="false">
      <c r="D347" s="40"/>
    </row>
    <row r="348" customFormat="false" ht="15" hidden="false" customHeight="false" outlineLevel="0" collapsed="false">
      <c r="D348" s="40"/>
    </row>
    <row r="349" customFormat="false" ht="15" hidden="false" customHeight="false" outlineLevel="0" collapsed="false">
      <c r="D349" s="40"/>
    </row>
    <row r="350" customFormat="false" ht="15" hidden="false" customHeight="false" outlineLevel="0" collapsed="false">
      <c r="D350" s="40"/>
    </row>
    <row r="351" customFormat="false" ht="15" hidden="false" customHeight="false" outlineLevel="0" collapsed="false">
      <c r="D351" s="40"/>
    </row>
    <row r="352" customFormat="false" ht="15" hidden="false" customHeight="false" outlineLevel="0" collapsed="false">
      <c r="D352" s="40"/>
    </row>
    <row r="353" customFormat="false" ht="15" hidden="false" customHeight="false" outlineLevel="0" collapsed="false">
      <c r="D353" s="40"/>
    </row>
    <row r="354" customFormat="false" ht="15" hidden="false" customHeight="false" outlineLevel="0" collapsed="false">
      <c r="D354" s="40"/>
    </row>
    <row r="355" customFormat="false" ht="15" hidden="false" customHeight="false" outlineLevel="0" collapsed="false">
      <c r="D355" s="40"/>
    </row>
    <row r="356" customFormat="false" ht="15" hidden="false" customHeight="false" outlineLevel="0" collapsed="false">
      <c r="D356" s="40"/>
    </row>
    <row r="357" customFormat="false" ht="15" hidden="false" customHeight="false" outlineLevel="0" collapsed="false">
      <c r="D357" s="40"/>
    </row>
    <row r="358" customFormat="false" ht="15" hidden="false" customHeight="false" outlineLevel="0" collapsed="false">
      <c r="D358" s="40"/>
    </row>
    <row r="359" customFormat="false" ht="15" hidden="false" customHeight="false" outlineLevel="0" collapsed="false">
      <c r="D359" s="40"/>
    </row>
    <row r="360" customFormat="false" ht="15" hidden="false" customHeight="false" outlineLevel="0" collapsed="false">
      <c r="D360" s="40"/>
    </row>
    <row r="361" customFormat="false" ht="15" hidden="false" customHeight="false" outlineLevel="0" collapsed="false">
      <c r="D361" s="40"/>
    </row>
    <row r="362" customFormat="false" ht="15" hidden="false" customHeight="false" outlineLevel="0" collapsed="false">
      <c r="D362" s="40"/>
    </row>
    <row r="363" customFormat="false" ht="15" hidden="false" customHeight="false" outlineLevel="0" collapsed="false">
      <c r="D363" s="40"/>
    </row>
    <row r="364" customFormat="false" ht="15" hidden="false" customHeight="false" outlineLevel="0" collapsed="false">
      <c r="D364" s="40"/>
    </row>
    <row r="365" customFormat="false" ht="15" hidden="false" customHeight="false" outlineLevel="0" collapsed="false">
      <c r="D365" s="40"/>
    </row>
    <row r="366" customFormat="false" ht="15" hidden="false" customHeight="false" outlineLevel="0" collapsed="false">
      <c r="D366" s="40"/>
    </row>
    <row r="367" customFormat="false" ht="15" hidden="false" customHeight="false" outlineLevel="0" collapsed="false">
      <c r="D367" s="40"/>
    </row>
    <row r="368" customFormat="false" ht="15" hidden="false" customHeight="false" outlineLevel="0" collapsed="false">
      <c r="D368" s="40"/>
    </row>
    <row r="369" customFormat="false" ht="15" hidden="false" customHeight="false" outlineLevel="0" collapsed="false">
      <c r="D369" s="40"/>
    </row>
    <row r="370" customFormat="false" ht="15" hidden="false" customHeight="false" outlineLevel="0" collapsed="false">
      <c r="D370" s="40"/>
    </row>
    <row r="371" customFormat="false" ht="15" hidden="false" customHeight="false" outlineLevel="0" collapsed="false">
      <c r="D371" s="40"/>
    </row>
    <row r="372" customFormat="false" ht="15" hidden="false" customHeight="false" outlineLevel="0" collapsed="false">
      <c r="D372" s="40"/>
    </row>
    <row r="373" customFormat="false" ht="15" hidden="false" customHeight="false" outlineLevel="0" collapsed="false">
      <c r="D373" s="40"/>
    </row>
    <row r="374" customFormat="false" ht="15" hidden="false" customHeight="false" outlineLevel="0" collapsed="false">
      <c r="D374" s="40"/>
    </row>
    <row r="375" customFormat="false" ht="15" hidden="false" customHeight="false" outlineLevel="0" collapsed="false">
      <c r="D375" s="40"/>
    </row>
    <row r="376" customFormat="false" ht="15" hidden="false" customHeight="false" outlineLevel="0" collapsed="false">
      <c r="D376" s="40"/>
    </row>
    <row r="377" customFormat="false" ht="15" hidden="false" customHeight="false" outlineLevel="0" collapsed="false">
      <c r="D377" s="40"/>
    </row>
    <row r="378" customFormat="false" ht="15" hidden="false" customHeight="false" outlineLevel="0" collapsed="false">
      <c r="D378" s="40"/>
    </row>
    <row r="379" customFormat="false" ht="15" hidden="false" customHeight="false" outlineLevel="0" collapsed="false">
      <c r="D379" s="40"/>
    </row>
    <row r="380" customFormat="false" ht="15" hidden="false" customHeight="false" outlineLevel="0" collapsed="false">
      <c r="D380" s="40"/>
    </row>
    <row r="381" customFormat="false" ht="15" hidden="false" customHeight="false" outlineLevel="0" collapsed="false">
      <c r="D381" s="40"/>
    </row>
    <row r="382" customFormat="false" ht="15" hidden="false" customHeight="false" outlineLevel="0" collapsed="false">
      <c r="D382" s="40"/>
    </row>
    <row r="383" customFormat="false" ht="15" hidden="false" customHeight="false" outlineLevel="0" collapsed="false">
      <c r="D383" s="40"/>
    </row>
    <row r="384" customFormat="false" ht="15" hidden="false" customHeight="false" outlineLevel="0" collapsed="false">
      <c r="D384" s="40"/>
    </row>
    <row r="385" customFormat="false" ht="15" hidden="false" customHeight="false" outlineLevel="0" collapsed="false">
      <c r="D385" s="40"/>
    </row>
    <row r="386" customFormat="false" ht="15" hidden="false" customHeight="false" outlineLevel="0" collapsed="false">
      <c r="D386" s="40"/>
    </row>
    <row r="387" customFormat="false" ht="15" hidden="false" customHeight="false" outlineLevel="0" collapsed="false">
      <c r="D387" s="40"/>
    </row>
    <row r="388" customFormat="false" ht="15" hidden="false" customHeight="false" outlineLevel="0" collapsed="false">
      <c r="D388" s="40"/>
    </row>
    <row r="389" customFormat="false" ht="15" hidden="false" customHeight="false" outlineLevel="0" collapsed="false">
      <c r="D389" s="40"/>
    </row>
    <row r="390" customFormat="false" ht="15" hidden="false" customHeight="false" outlineLevel="0" collapsed="false">
      <c r="D390" s="40"/>
    </row>
    <row r="391" customFormat="false" ht="15" hidden="false" customHeight="false" outlineLevel="0" collapsed="false">
      <c r="D391" s="40"/>
    </row>
    <row r="392" customFormat="false" ht="15" hidden="false" customHeight="false" outlineLevel="0" collapsed="false">
      <c r="D392" s="40"/>
    </row>
    <row r="393" customFormat="false" ht="15" hidden="false" customHeight="false" outlineLevel="0" collapsed="false">
      <c r="D393" s="40"/>
    </row>
    <row r="394" customFormat="false" ht="15" hidden="false" customHeight="false" outlineLevel="0" collapsed="false">
      <c r="D394" s="40"/>
    </row>
    <row r="395" customFormat="false" ht="15" hidden="false" customHeight="false" outlineLevel="0" collapsed="false">
      <c r="D395" s="40"/>
    </row>
    <row r="396" customFormat="false" ht="15" hidden="false" customHeight="false" outlineLevel="0" collapsed="false">
      <c r="D396" s="40"/>
    </row>
    <row r="397" customFormat="false" ht="15" hidden="false" customHeight="false" outlineLevel="0" collapsed="false">
      <c r="D397" s="40"/>
    </row>
    <row r="398" customFormat="false" ht="15" hidden="false" customHeight="false" outlineLevel="0" collapsed="false">
      <c r="D398" s="40"/>
    </row>
    <row r="399" customFormat="false" ht="15" hidden="false" customHeight="false" outlineLevel="0" collapsed="false">
      <c r="D399" s="40"/>
    </row>
    <row r="400" customFormat="false" ht="15" hidden="false" customHeight="false" outlineLevel="0" collapsed="false">
      <c r="D400" s="40"/>
    </row>
    <row r="401" customFormat="false" ht="15" hidden="false" customHeight="false" outlineLevel="0" collapsed="false">
      <c r="D401" s="40"/>
    </row>
    <row r="402" customFormat="false" ht="15" hidden="false" customHeight="false" outlineLevel="0" collapsed="false">
      <c r="D402" s="40"/>
    </row>
    <row r="403" customFormat="false" ht="15" hidden="false" customHeight="false" outlineLevel="0" collapsed="false">
      <c r="D403" s="40"/>
    </row>
    <row r="404" customFormat="false" ht="15" hidden="false" customHeight="false" outlineLevel="0" collapsed="false">
      <c r="D404" s="40"/>
    </row>
    <row r="405" customFormat="false" ht="15" hidden="false" customHeight="false" outlineLevel="0" collapsed="false">
      <c r="D405" s="40"/>
    </row>
    <row r="406" customFormat="false" ht="15" hidden="false" customHeight="false" outlineLevel="0" collapsed="false">
      <c r="D406" s="40"/>
    </row>
    <row r="407" customFormat="false" ht="15" hidden="false" customHeight="false" outlineLevel="0" collapsed="false">
      <c r="D407" s="40"/>
    </row>
    <row r="408" customFormat="false" ht="15" hidden="false" customHeight="false" outlineLevel="0" collapsed="false">
      <c r="D408" s="40"/>
    </row>
    <row r="409" customFormat="false" ht="15" hidden="false" customHeight="false" outlineLevel="0" collapsed="false">
      <c r="D409" s="40"/>
    </row>
    <row r="410" customFormat="false" ht="15" hidden="false" customHeight="false" outlineLevel="0" collapsed="false">
      <c r="D410" s="40"/>
    </row>
    <row r="411" customFormat="false" ht="15" hidden="false" customHeight="false" outlineLevel="0" collapsed="false">
      <c r="D411" s="40"/>
    </row>
    <row r="412" customFormat="false" ht="15" hidden="false" customHeight="false" outlineLevel="0" collapsed="false">
      <c r="D412" s="40"/>
    </row>
    <row r="413" customFormat="false" ht="15" hidden="false" customHeight="false" outlineLevel="0" collapsed="false">
      <c r="D413" s="40"/>
    </row>
    <row r="414" customFormat="false" ht="15" hidden="false" customHeight="false" outlineLevel="0" collapsed="false">
      <c r="D414" s="40"/>
    </row>
    <row r="415" customFormat="false" ht="15" hidden="false" customHeight="false" outlineLevel="0" collapsed="false">
      <c r="D415" s="40"/>
    </row>
    <row r="416" customFormat="false" ht="15" hidden="false" customHeight="false" outlineLevel="0" collapsed="false">
      <c r="D416" s="40"/>
    </row>
    <row r="417" customFormat="false" ht="15" hidden="false" customHeight="false" outlineLevel="0" collapsed="false">
      <c r="D417" s="40"/>
    </row>
    <row r="418" customFormat="false" ht="15" hidden="false" customHeight="false" outlineLevel="0" collapsed="false">
      <c r="D418" s="40"/>
    </row>
    <row r="419" customFormat="false" ht="15" hidden="false" customHeight="false" outlineLevel="0" collapsed="false">
      <c r="D419" s="40"/>
    </row>
    <row r="420" customFormat="false" ht="15" hidden="false" customHeight="false" outlineLevel="0" collapsed="false">
      <c r="D420" s="40"/>
    </row>
    <row r="421" customFormat="false" ht="15" hidden="false" customHeight="false" outlineLevel="0" collapsed="false">
      <c r="D421" s="40"/>
    </row>
    <row r="422" customFormat="false" ht="15" hidden="false" customHeight="false" outlineLevel="0" collapsed="false">
      <c r="D422" s="40"/>
    </row>
    <row r="423" customFormat="false" ht="15" hidden="false" customHeight="false" outlineLevel="0" collapsed="false">
      <c r="D423" s="40"/>
    </row>
    <row r="424" customFormat="false" ht="15" hidden="false" customHeight="false" outlineLevel="0" collapsed="false">
      <c r="D424" s="40"/>
    </row>
    <row r="425" customFormat="false" ht="15" hidden="false" customHeight="false" outlineLevel="0" collapsed="false">
      <c r="D425" s="40"/>
    </row>
    <row r="426" customFormat="false" ht="15" hidden="false" customHeight="false" outlineLevel="0" collapsed="false">
      <c r="D426" s="40"/>
    </row>
    <row r="427" customFormat="false" ht="15" hidden="false" customHeight="false" outlineLevel="0" collapsed="false">
      <c r="D427" s="40"/>
    </row>
    <row r="428" customFormat="false" ht="15" hidden="false" customHeight="false" outlineLevel="0" collapsed="false">
      <c r="D428" s="40"/>
    </row>
    <row r="429" customFormat="false" ht="15" hidden="false" customHeight="false" outlineLevel="0" collapsed="false">
      <c r="D429" s="40"/>
    </row>
    <row r="430" customFormat="false" ht="15" hidden="false" customHeight="false" outlineLevel="0" collapsed="false">
      <c r="D430" s="40"/>
    </row>
    <row r="431" customFormat="false" ht="15" hidden="false" customHeight="false" outlineLevel="0" collapsed="false">
      <c r="D431" s="40"/>
    </row>
    <row r="432" customFormat="false" ht="15" hidden="false" customHeight="false" outlineLevel="0" collapsed="false">
      <c r="D432" s="40"/>
    </row>
    <row r="433" customFormat="false" ht="15" hidden="false" customHeight="false" outlineLevel="0" collapsed="false">
      <c r="D433" s="40"/>
    </row>
    <row r="434" customFormat="false" ht="15" hidden="false" customHeight="false" outlineLevel="0" collapsed="false">
      <c r="D434" s="40"/>
    </row>
    <row r="435" customFormat="false" ht="15" hidden="false" customHeight="false" outlineLevel="0" collapsed="false">
      <c r="D435" s="40"/>
    </row>
    <row r="436" customFormat="false" ht="15" hidden="false" customHeight="false" outlineLevel="0" collapsed="false">
      <c r="D436" s="40"/>
    </row>
    <row r="437" customFormat="false" ht="15" hidden="false" customHeight="false" outlineLevel="0" collapsed="false">
      <c r="D437" s="40"/>
    </row>
    <row r="438" customFormat="false" ht="15" hidden="false" customHeight="false" outlineLevel="0" collapsed="false">
      <c r="D438" s="40"/>
    </row>
    <row r="439" customFormat="false" ht="15" hidden="false" customHeight="false" outlineLevel="0" collapsed="false">
      <c r="D439" s="40"/>
    </row>
    <row r="440" customFormat="false" ht="15" hidden="false" customHeight="false" outlineLevel="0" collapsed="false">
      <c r="D440" s="40"/>
    </row>
    <row r="441" customFormat="false" ht="15" hidden="false" customHeight="false" outlineLevel="0" collapsed="false">
      <c r="D441" s="40"/>
    </row>
    <row r="442" customFormat="false" ht="15" hidden="false" customHeight="false" outlineLevel="0" collapsed="false">
      <c r="D442" s="40"/>
    </row>
    <row r="443" customFormat="false" ht="15" hidden="false" customHeight="false" outlineLevel="0" collapsed="false">
      <c r="D443" s="40"/>
    </row>
    <row r="444" customFormat="false" ht="15" hidden="false" customHeight="false" outlineLevel="0" collapsed="false">
      <c r="D444" s="40"/>
    </row>
    <row r="445" customFormat="false" ht="15" hidden="false" customHeight="false" outlineLevel="0" collapsed="false">
      <c r="D445" s="40"/>
    </row>
    <row r="446" customFormat="false" ht="15" hidden="false" customHeight="false" outlineLevel="0" collapsed="false">
      <c r="D446" s="40"/>
    </row>
    <row r="447" customFormat="false" ht="15" hidden="false" customHeight="false" outlineLevel="0" collapsed="false">
      <c r="D447" s="40"/>
    </row>
    <row r="448" customFormat="false" ht="15" hidden="false" customHeight="false" outlineLevel="0" collapsed="false">
      <c r="D448" s="40"/>
    </row>
    <row r="449" customFormat="false" ht="15" hidden="false" customHeight="false" outlineLevel="0" collapsed="false">
      <c r="D449" s="40"/>
    </row>
    <row r="450" customFormat="false" ht="15" hidden="false" customHeight="false" outlineLevel="0" collapsed="false">
      <c r="D450" s="40"/>
    </row>
    <row r="451" customFormat="false" ht="15" hidden="false" customHeight="false" outlineLevel="0" collapsed="false">
      <c r="D451" s="40"/>
    </row>
    <row r="452" customFormat="false" ht="15" hidden="false" customHeight="false" outlineLevel="0" collapsed="false">
      <c r="D452" s="40"/>
    </row>
    <row r="453" customFormat="false" ht="15" hidden="false" customHeight="false" outlineLevel="0" collapsed="false">
      <c r="D453" s="40"/>
    </row>
    <row r="454" customFormat="false" ht="15" hidden="false" customHeight="false" outlineLevel="0" collapsed="false">
      <c r="D454" s="40"/>
    </row>
    <row r="455" customFormat="false" ht="15" hidden="false" customHeight="false" outlineLevel="0" collapsed="false">
      <c r="D455" s="40"/>
    </row>
    <row r="456" customFormat="false" ht="15" hidden="false" customHeight="false" outlineLevel="0" collapsed="false">
      <c r="D456" s="40"/>
    </row>
    <row r="457" customFormat="false" ht="15" hidden="false" customHeight="false" outlineLevel="0" collapsed="false">
      <c r="D457" s="40"/>
    </row>
    <row r="458" customFormat="false" ht="15" hidden="false" customHeight="false" outlineLevel="0" collapsed="false">
      <c r="D458" s="40"/>
    </row>
    <row r="459" customFormat="false" ht="15" hidden="false" customHeight="false" outlineLevel="0" collapsed="false">
      <c r="D459" s="40"/>
    </row>
    <row r="460" customFormat="false" ht="15" hidden="false" customHeight="false" outlineLevel="0" collapsed="false">
      <c r="D460" s="40"/>
    </row>
    <row r="461" customFormat="false" ht="15" hidden="false" customHeight="false" outlineLevel="0" collapsed="false">
      <c r="D461" s="40"/>
    </row>
    <row r="462" customFormat="false" ht="15" hidden="false" customHeight="false" outlineLevel="0" collapsed="false">
      <c r="D462" s="40"/>
    </row>
    <row r="463" customFormat="false" ht="15" hidden="false" customHeight="false" outlineLevel="0" collapsed="false">
      <c r="D463" s="40"/>
    </row>
    <row r="464" customFormat="false" ht="15" hidden="false" customHeight="false" outlineLevel="0" collapsed="false">
      <c r="D464" s="40"/>
    </row>
    <row r="465" customFormat="false" ht="15" hidden="false" customHeight="false" outlineLevel="0" collapsed="false">
      <c r="D465" s="40"/>
    </row>
    <row r="466" customFormat="false" ht="15" hidden="false" customHeight="false" outlineLevel="0" collapsed="false">
      <c r="D466" s="40"/>
    </row>
    <row r="467" customFormat="false" ht="15" hidden="false" customHeight="false" outlineLevel="0" collapsed="false">
      <c r="D467" s="40"/>
    </row>
    <row r="468" customFormat="false" ht="15" hidden="false" customHeight="false" outlineLevel="0" collapsed="false">
      <c r="D468" s="40"/>
    </row>
    <row r="469" customFormat="false" ht="15" hidden="false" customHeight="false" outlineLevel="0" collapsed="false">
      <c r="D469" s="40"/>
    </row>
    <row r="470" customFormat="false" ht="15" hidden="false" customHeight="false" outlineLevel="0" collapsed="false">
      <c r="D470" s="40"/>
    </row>
    <row r="471" customFormat="false" ht="15" hidden="false" customHeight="false" outlineLevel="0" collapsed="false">
      <c r="D471" s="40"/>
    </row>
    <row r="472" customFormat="false" ht="15" hidden="false" customHeight="false" outlineLevel="0" collapsed="false">
      <c r="D472" s="40"/>
    </row>
    <row r="473" customFormat="false" ht="15" hidden="false" customHeight="false" outlineLevel="0" collapsed="false">
      <c r="D473" s="40"/>
    </row>
    <row r="474" customFormat="false" ht="15" hidden="false" customHeight="false" outlineLevel="0" collapsed="false">
      <c r="D474" s="40"/>
    </row>
    <row r="475" customFormat="false" ht="15" hidden="false" customHeight="false" outlineLevel="0" collapsed="false">
      <c r="D475" s="40"/>
    </row>
    <row r="476" customFormat="false" ht="15" hidden="false" customHeight="false" outlineLevel="0" collapsed="false">
      <c r="D476" s="40"/>
    </row>
    <row r="477" customFormat="false" ht="15" hidden="false" customHeight="false" outlineLevel="0" collapsed="false">
      <c r="D477" s="40"/>
    </row>
    <row r="478" customFormat="false" ht="15" hidden="false" customHeight="false" outlineLevel="0" collapsed="false">
      <c r="D478" s="40"/>
    </row>
    <row r="479" customFormat="false" ht="15" hidden="false" customHeight="false" outlineLevel="0" collapsed="false">
      <c r="D479" s="40"/>
    </row>
    <row r="480" customFormat="false" ht="15" hidden="false" customHeight="false" outlineLevel="0" collapsed="false">
      <c r="D480" s="40"/>
    </row>
    <row r="481" customFormat="false" ht="15" hidden="false" customHeight="false" outlineLevel="0" collapsed="false">
      <c r="D481" s="40"/>
    </row>
    <row r="482" customFormat="false" ht="15" hidden="false" customHeight="false" outlineLevel="0" collapsed="false">
      <c r="D482" s="40"/>
    </row>
    <row r="483" customFormat="false" ht="15" hidden="false" customHeight="false" outlineLevel="0" collapsed="false">
      <c r="D483" s="40"/>
    </row>
    <row r="484" customFormat="false" ht="15" hidden="false" customHeight="false" outlineLevel="0" collapsed="false">
      <c r="D484" s="40"/>
    </row>
    <row r="485" customFormat="false" ht="15" hidden="false" customHeight="false" outlineLevel="0" collapsed="false">
      <c r="D485" s="40"/>
    </row>
    <row r="486" customFormat="false" ht="15" hidden="false" customHeight="false" outlineLevel="0" collapsed="false">
      <c r="D486" s="40"/>
    </row>
    <row r="487" customFormat="false" ht="15" hidden="false" customHeight="false" outlineLevel="0" collapsed="false">
      <c r="D487" s="40"/>
    </row>
    <row r="488" customFormat="false" ht="15" hidden="false" customHeight="false" outlineLevel="0" collapsed="false">
      <c r="D488" s="40"/>
    </row>
    <row r="489" customFormat="false" ht="15" hidden="false" customHeight="false" outlineLevel="0" collapsed="false">
      <c r="D489" s="40"/>
    </row>
    <row r="490" customFormat="false" ht="15" hidden="false" customHeight="false" outlineLevel="0" collapsed="false">
      <c r="D490" s="40"/>
    </row>
    <row r="491" customFormat="false" ht="15" hidden="false" customHeight="false" outlineLevel="0" collapsed="false">
      <c r="D491" s="40"/>
    </row>
    <row r="492" customFormat="false" ht="15" hidden="false" customHeight="false" outlineLevel="0" collapsed="false">
      <c r="D492" s="40"/>
    </row>
    <row r="493" customFormat="false" ht="15" hidden="false" customHeight="false" outlineLevel="0" collapsed="false">
      <c r="D493" s="40"/>
    </row>
    <row r="494" customFormat="false" ht="15" hidden="false" customHeight="false" outlineLevel="0" collapsed="false">
      <c r="D494" s="40"/>
    </row>
    <row r="495" customFormat="false" ht="15" hidden="false" customHeight="false" outlineLevel="0" collapsed="false">
      <c r="D495" s="40"/>
    </row>
    <row r="496" customFormat="false" ht="15" hidden="false" customHeight="false" outlineLevel="0" collapsed="false">
      <c r="D496" s="40"/>
    </row>
    <row r="497" customFormat="false" ht="15" hidden="false" customHeight="false" outlineLevel="0" collapsed="false">
      <c r="D497" s="40"/>
    </row>
    <row r="498" customFormat="false" ht="15" hidden="false" customHeight="false" outlineLevel="0" collapsed="false">
      <c r="D498" s="40"/>
    </row>
    <row r="499" customFormat="false" ht="15" hidden="false" customHeight="false" outlineLevel="0" collapsed="false">
      <c r="D499" s="40"/>
    </row>
    <row r="500" customFormat="false" ht="15" hidden="false" customHeight="false" outlineLevel="0" collapsed="false">
      <c r="D500" s="40"/>
    </row>
    <row r="501" customFormat="false" ht="15" hidden="false" customHeight="false" outlineLevel="0" collapsed="false">
      <c r="D501" s="40"/>
    </row>
    <row r="502" customFormat="false" ht="15" hidden="false" customHeight="false" outlineLevel="0" collapsed="false">
      <c r="D502" s="40"/>
    </row>
    <row r="503" customFormat="false" ht="15" hidden="false" customHeight="false" outlineLevel="0" collapsed="false">
      <c r="D503" s="40"/>
    </row>
    <row r="504" customFormat="false" ht="15" hidden="false" customHeight="false" outlineLevel="0" collapsed="false">
      <c r="D504" s="40"/>
    </row>
    <row r="505" customFormat="false" ht="15" hidden="false" customHeight="false" outlineLevel="0" collapsed="false">
      <c r="D505" s="40"/>
    </row>
    <row r="506" customFormat="false" ht="15" hidden="false" customHeight="false" outlineLevel="0" collapsed="false">
      <c r="D506" s="40"/>
    </row>
    <row r="507" customFormat="false" ht="15" hidden="false" customHeight="false" outlineLevel="0" collapsed="false">
      <c r="D507" s="40"/>
    </row>
    <row r="508" customFormat="false" ht="15" hidden="false" customHeight="false" outlineLevel="0" collapsed="false">
      <c r="D508" s="40"/>
    </row>
    <row r="509" customFormat="false" ht="15" hidden="false" customHeight="false" outlineLevel="0" collapsed="false">
      <c r="D509" s="40"/>
    </row>
    <row r="510" customFormat="false" ht="15" hidden="false" customHeight="false" outlineLevel="0" collapsed="false">
      <c r="D510" s="40"/>
    </row>
    <row r="511" customFormat="false" ht="15" hidden="false" customHeight="false" outlineLevel="0" collapsed="false">
      <c r="D511" s="40"/>
    </row>
    <row r="512" customFormat="false" ht="15" hidden="false" customHeight="false" outlineLevel="0" collapsed="false">
      <c r="D512" s="40"/>
    </row>
    <row r="513" customFormat="false" ht="15" hidden="false" customHeight="false" outlineLevel="0" collapsed="false">
      <c r="D513" s="40"/>
    </row>
    <row r="514" customFormat="false" ht="15" hidden="false" customHeight="false" outlineLevel="0" collapsed="false">
      <c r="D514" s="40"/>
    </row>
    <row r="515" customFormat="false" ht="15" hidden="false" customHeight="false" outlineLevel="0" collapsed="false">
      <c r="D515" s="40"/>
    </row>
    <row r="516" customFormat="false" ht="15" hidden="false" customHeight="false" outlineLevel="0" collapsed="false">
      <c r="D516" s="40"/>
    </row>
    <row r="517" customFormat="false" ht="15" hidden="false" customHeight="false" outlineLevel="0" collapsed="false">
      <c r="D517" s="40"/>
    </row>
    <row r="518" customFormat="false" ht="15" hidden="false" customHeight="false" outlineLevel="0" collapsed="false">
      <c r="D518" s="40"/>
    </row>
    <row r="519" customFormat="false" ht="15" hidden="false" customHeight="false" outlineLevel="0" collapsed="false">
      <c r="D519" s="40"/>
    </row>
    <row r="520" customFormat="false" ht="15" hidden="false" customHeight="false" outlineLevel="0" collapsed="false">
      <c r="D520" s="40"/>
    </row>
    <row r="521" customFormat="false" ht="15" hidden="false" customHeight="false" outlineLevel="0" collapsed="false">
      <c r="D521" s="40"/>
    </row>
    <row r="522" customFormat="false" ht="15" hidden="false" customHeight="false" outlineLevel="0" collapsed="false">
      <c r="D522" s="40"/>
    </row>
    <row r="523" customFormat="false" ht="15" hidden="false" customHeight="false" outlineLevel="0" collapsed="false">
      <c r="D523" s="40"/>
    </row>
    <row r="524" customFormat="false" ht="15" hidden="false" customHeight="false" outlineLevel="0" collapsed="false">
      <c r="D524" s="40"/>
    </row>
    <row r="525" customFormat="false" ht="15" hidden="false" customHeight="false" outlineLevel="0" collapsed="false">
      <c r="D525" s="40"/>
    </row>
    <row r="526" customFormat="false" ht="15" hidden="false" customHeight="false" outlineLevel="0" collapsed="false">
      <c r="D526" s="40"/>
    </row>
    <row r="527" customFormat="false" ht="15" hidden="false" customHeight="false" outlineLevel="0" collapsed="false">
      <c r="D527" s="40"/>
    </row>
    <row r="528" customFormat="false" ht="15" hidden="false" customHeight="false" outlineLevel="0" collapsed="false">
      <c r="D528" s="40"/>
    </row>
    <row r="529" customFormat="false" ht="15" hidden="false" customHeight="false" outlineLevel="0" collapsed="false">
      <c r="D529" s="40"/>
    </row>
    <row r="530" customFormat="false" ht="15" hidden="false" customHeight="false" outlineLevel="0" collapsed="false">
      <c r="D530" s="40"/>
    </row>
    <row r="531" customFormat="false" ht="15" hidden="false" customHeight="false" outlineLevel="0" collapsed="false">
      <c r="D531" s="40"/>
    </row>
    <row r="532" customFormat="false" ht="15" hidden="false" customHeight="false" outlineLevel="0" collapsed="false">
      <c r="D532" s="40"/>
    </row>
    <row r="533" customFormat="false" ht="15" hidden="false" customHeight="false" outlineLevel="0" collapsed="false">
      <c r="D533" s="40"/>
    </row>
    <row r="534" customFormat="false" ht="15" hidden="false" customHeight="false" outlineLevel="0" collapsed="false">
      <c r="D534" s="40"/>
    </row>
    <row r="535" customFormat="false" ht="15" hidden="false" customHeight="false" outlineLevel="0" collapsed="false">
      <c r="D535" s="40"/>
    </row>
    <row r="536" customFormat="false" ht="15" hidden="false" customHeight="false" outlineLevel="0" collapsed="false">
      <c r="D536" s="40"/>
    </row>
    <row r="537" customFormat="false" ht="15" hidden="false" customHeight="false" outlineLevel="0" collapsed="false">
      <c r="D537" s="40"/>
    </row>
    <row r="538" customFormat="false" ht="15" hidden="false" customHeight="false" outlineLevel="0" collapsed="false">
      <c r="D538" s="40"/>
    </row>
    <row r="539" customFormat="false" ht="15" hidden="false" customHeight="false" outlineLevel="0" collapsed="false">
      <c r="D539" s="40"/>
    </row>
    <row r="540" customFormat="false" ht="15" hidden="false" customHeight="false" outlineLevel="0" collapsed="false">
      <c r="D540" s="40"/>
    </row>
    <row r="541" customFormat="false" ht="15" hidden="false" customHeight="false" outlineLevel="0" collapsed="false">
      <c r="D541" s="40"/>
    </row>
    <row r="542" customFormat="false" ht="15" hidden="false" customHeight="false" outlineLevel="0" collapsed="false">
      <c r="D542" s="40"/>
    </row>
    <row r="543" customFormat="false" ht="15" hidden="false" customHeight="false" outlineLevel="0" collapsed="false">
      <c r="D543" s="40"/>
    </row>
    <row r="544" customFormat="false" ht="15" hidden="false" customHeight="false" outlineLevel="0" collapsed="false">
      <c r="D544" s="40"/>
    </row>
    <row r="545" customFormat="false" ht="15" hidden="false" customHeight="false" outlineLevel="0" collapsed="false">
      <c r="D545" s="40"/>
    </row>
    <row r="546" customFormat="false" ht="15" hidden="false" customHeight="false" outlineLevel="0" collapsed="false">
      <c r="D546" s="40"/>
    </row>
    <row r="547" customFormat="false" ht="15" hidden="false" customHeight="false" outlineLevel="0" collapsed="false">
      <c r="D547" s="40"/>
    </row>
    <row r="548" customFormat="false" ht="15" hidden="false" customHeight="false" outlineLevel="0" collapsed="false">
      <c r="D548" s="40"/>
    </row>
    <row r="549" customFormat="false" ht="15" hidden="false" customHeight="false" outlineLevel="0" collapsed="false">
      <c r="D549" s="40"/>
    </row>
    <row r="550" customFormat="false" ht="15" hidden="false" customHeight="false" outlineLevel="0" collapsed="false">
      <c r="D550" s="40"/>
    </row>
    <row r="551" customFormat="false" ht="15" hidden="false" customHeight="false" outlineLevel="0" collapsed="false">
      <c r="D551" s="40"/>
    </row>
    <row r="552" customFormat="false" ht="15" hidden="false" customHeight="false" outlineLevel="0" collapsed="false">
      <c r="D552" s="40"/>
    </row>
    <row r="553" customFormat="false" ht="15" hidden="false" customHeight="false" outlineLevel="0" collapsed="false">
      <c r="D553" s="40"/>
    </row>
    <row r="554" customFormat="false" ht="15" hidden="false" customHeight="false" outlineLevel="0" collapsed="false">
      <c r="D554" s="40"/>
    </row>
    <row r="555" customFormat="false" ht="15" hidden="false" customHeight="false" outlineLevel="0" collapsed="false">
      <c r="D555" s="40"/>
    </row>
    <row r="556" customFormat="false" ht="15" hidden="false" customHeight="false" outlineLevel="0" collapsed="false">
      <c r="D556" s="40"/>
    </row>
    <row r="557" customFormat="false" ht="15" hidden="false" customHeight="false" outlineLevel="0" collapsed="false">
      <c r="D557" s="40"/>
    </row>
    <row r="558" customFormat="false" ht="15" hidden="false" customHeight="false" outlineLevel="0" collapsed="false">
      <c r="D558" s="40"/>
    </row>
    <row r="559" customFormat="false" ht="15" hidden="false" customHeight="false" outlineLevel="0" collapsed="false">
      <c r="D559" s="40"/>
    </row>
    <row r="560" customFormat="false" ht="15" hidden="false" customHeight="false" outlineLevel="0" collapsed="false">
      <c r="D560" s="40"/>
    </row>
    <row r="561" customFormat="false" ht="15" hidden="false" customHeight="false" outlineLevel="0" collapsed="false">
      <c r="D561" s="40"/>
    </row>
    <row r="562" customFormat="false" ht="15" hidden="false" customHeight="false" outlineLevel="0" collapsed="false">
      <c r="D562" s="40"/>
    </row>
    <row r="563" customFormat="false" ht="15" hidden="false" customHeight="false" outlineLevel="0" collapsed="false">
      <c r="D563" s="40"/>
    </row>
    <row r="564" customFormat="false" ht="15" hidden="false" customHeight="false" outlineLevel="0" collapsed="false">
      <c r="D564" s="40"/>
    </row>
    <row r="565" customFormat="false" ht="15" hidden="false" customHeight="false" outlineLevel="0" collapsed="false">
      <c r="D565" s="40"/>
    </row>
    <row r="566" customFormat="false" ht="15" hidden="false" customHeight="false" outlineLevel="0" collapsed="false">
      <c r="D566" s="40"/>
    </row>
    <row r="567" customFormat="false" ht="15" hidden="false" customHeight="false" outlineLevel="0" collapsed="false">
      <c r="D567" s="40"/>
    </row>
    <row r="568" customFormat="false" ht="15" hidden="false" customHeight="false" outlineLevel="0" collapsed="false">
      <c r="D568" s="40"/>
    </row>
    <row r="569" customFormat="false" ht="15" hidden="false" customHeight="false" outlineLevel="0" collapsed="false">
      <c r="D569" s="40"/>
    </row>
    <row r="570" customFormat="false" ht="15" hidden="false" customHeight="false" outlineLevel="0" collapsed="false">
      <c r="D570" s="40"/>
    </row>
    <row r="571" customFormat="false" ht="15" hidden="false" customHeight="false" outlineLevel="0" collapsed="false">
      <c r="D571" s="40"/>
    </row>
    <row r="572" customFormat="false" ht="15" hidden="false" customHeight="false" outlineLevel="0" collapsed="false">
      <c r="D572" s="40"/>
    </row>
    <row r="573" customFormat="false" ht="15" hidden="false" customHeight="false" outlineLevel="0" collapsed="false">
      <c r="D573" s="40"/>
    </row>
    <row r="574" customFormat="false" ht="15" hidden="false" customHeight="false" outlineLevel="0" collapsed="false">
      <c r="D574" s="40"/>
    </row>
    <row r="575" customFormat="false" ht="15" hidden="false" customHeight="false" outlineLevel="0" collapsed="false">
      <c r="D575" s="40"/>
    </row>
    <row r="576" customFormat="false" ht="15" hidden="false" customHeight="false" outlineLevel="0" collapsed="false">
      <c r="D576" s="40"/>
    </row>
    <row r="577" customFormat="false" ht="15" hidden="false" customHeight="false" outlineLevel="0" collapsed="false">
      <c r="D577" s="40"/>
    </row>
    <row r="578" customFormat="false" ht="15" hidden="false" customHeight="false" outlineLevel="0" collapsed="false">
      <c r="D578" s="40"/>
    </row>
    <row r="579" customFormat="false" ht="15" hidden="false" customHeight="false" outlineLevel="0" collapsed="false">
      <c r="D579" s="40"/>
    </row>
    <row r="580" customFormat="false" ht="15" hidden="false" customHeight="false" outlineLevel="0" collapsed="false">
      <c r="D580" s="40"/>
    </row>
    <row r="581" customFormat="false" ht="15" hidden="false" customHeight="false" outlineLevel="0" collapsed="false">
      <c r="D581" s="40"/>
    </row>
    <row r="582" customFormat="false" ht="15" hidden="false" customHeight="false" outlineLevel="0" collapsed="false">
      <c r="D582" s="40"/>
    </row>
    <row r="583" customFormat="false" ht="15" hidden="false" customHeight="false" outlineLevel="0" collapsed="false">
      <c r="D583" s="40"/>
    </row>
    <row r="584" customFormat="false" ht="15" hidden="false" customHeight="false" outlineLevel="0" collapsed="false">
      <c r="D584" s="40"/>
    </row>
    <row r="585" customFormat="false" ht="15" hidden="false" customHeight="false" outlineLevel="0" collapsed="false">
      <c r="D585" s="40"/>
    </row>
    <row r="586" customFormat="false" ht="15" hidden="false" customHeight="false" outlineLevel="0" collapsed="false">
      <c r="D586" s="40"/>
    </row>
    <row r="587" customFormat="false" ht="15" hidden="false" customHeight="false" outlineLevel="0" collapsed="false">
      <c r="D587" s="40"/>
    </row>
    <row r="588" customFormat="false" ht="15" hidden="false" customHeight="false" outlineLevel="0" collapsed="false">
      <c r="D588" s="40"/>
    </row>
    <row r="589" customFormat="false" ht="15" hidden="false" customHeight="false" outlineLevel="0" collapsed="false">
      <c r="D589" s="40"/>
    </row>
    <row r="590" customFormat="false" ht="15" hidden="false" customHeight="false" outlineLevel="0" collapsed="false">
      <c r="D590" s="40"/>
    </row>
    <row r="591" customFormat="false" ht="15" hidden="false" customHeight="false" outlineLevel="0" collapsed="false">
      <c r="D591" s="40"/>
    </row>
    <row r="592" customFormat="false" ht="15" hidden="false" customHeight="false" outlineLevel="0" collapsed="false">
      <c r="D592" s="40"/>
    </row>
    <row r="593" customFormat="false" ht="15" hidden="false" customHeight="false" outlineLevel="0" collapsed="false">
      <c r="D593" s="40"/>
    </row>
    <row r="594" customFormat="false" ht="15" hidden="false" customHeight="false" outlineLevel="0" collapsed="false">
      <c r="D594" s="40"/>
    </row>
    <row r="595" customFormat="false" ht="15" hidden="false" customHeight="false" outlineLevel="0" collapsed="false">
      <c r="D595" s="40"/>
    </row>
    <row r="596" customFormat="false" ht="15" hidden="false" customHeight="false" outlineLevel="0" collapsed="false">
      <c r="D596" s="40"/>
    </row>
    <row r="597" customFormat="false" ht="15" hidden="false" customHeight="false" outlineLevel="0" collapsed="false">
      <c r="D597" s="40"/>
    </row>
    <row r="598" customFormat="false" ht="15" hidden="false" customHeight="false" outlineLevel="0" collapsed="false">
      <c r="D598" s="40"/>
    </row>
    <row r="599" customFormat="false" ht="15" hidden="false" customHeight="false" outlineLevel="0" collapsed="false">
      <c r="D599" s="40"/>
    </row>
    <row r="600" customFormat="false" ht="15" hidden="false" customHeight="false" outlineLevel="0" collapsed="false">
      <c r="D600" s="40"/>
    </row>
    <row r="601" customFormat="false" ht="15" hidden="false" customHeight="false" outlineLevel="0" collapsed="false">
      <c r="D601" s="40"/>
    </row>
    <row r="602" customFormat="false" ht="15" hidden="false" customHeight="false" outlineLevel="0" collapsed="false">
      <c r="D602" s="40"/>
    </row>
    <row r="603" customFormat="false" ht="15" hidden="false" customHeight="false" outlineLevel="0" collapsed="false">
      <c r="D603" s="40"/>
    </row>
    <row r="604" customFormat="false" ht="15" hidden="false" customHeight="false" outlineLevel="0" collapsed="false">
      <c r="D604" s="40"/>
    </row>
    <row r="605" customFormat="false" ht="15" hidden="false" customHeight="false" outlineLevel="0" collapsed="false">
      <c r="D605" s="40"/>
    </row>
    <row r="606" customFormat="false" ht="15" hidden="false" customHeight="false" outlineLevel="0" collapsed="false">
      <c r="D606" s="40"/>
    </row>
    <row r="607" customFormat="false" ht="15" hidden="false" customHeight="false" outlineLevel="0" collapsed="false">
      <c r="D607" s="40"/>
    </row>
    <row r="608" customFormat="false" ht="15" hidden="false" customHeight="false" outlineLevel="0" collapsed="false">
      <c r="D608" s="40"/>
    </row>
    <row r="609" customFormat="false" ht="15" hidden="false" customHeight="false" outlineLevel="0" collapsed="false">
      <c r="D609" s="40"/>
    </row>
    <row r="610" customFormat="false" ht="15" hidden="false" customHeight="false" outlineLevel="0" collapsed="false">
      <c r="D610" s="40"/>
    </row>
    <row r="611" customFormat="false" ht="15" hidden="false" customHeight="false" outlineLevel="0" collapsed="false">
      <c r="D611" s="40"/>
    </row>
    <row r="612" customFormat="false" ht="15" hidden="false" customHeight="false" outlineLevel="0" collapsed="false">
      <c r="D612" s="40"/>
    </row>
    <row r="613" customFormat="false" ht="15" hidden="false" customHeight="false" outlineLevel="0" collapsed="false">
      <c r="D613" s="40"/>
    </row>
    <row r="614" customFormat="false" ht="15" hidden="false" customHeight="false" outlineLevel="0" collapsed="false">
      <c r="D614" s="40"/>
    </row>
    <row r="615" customFormat="false" ht="15" hidden="false" customHeight="false" outlineLevel="0" collapsed="false">
      <c r="D615" s="40"/>
    </row>
    <row r="616" customFormat="false" ht="15" hidden="false" customHeight="false" outlineLevel="0" collapsed="false">
      <c r="D616" s="40"/>
    </row>
    <row r="617" customFormat="false" ht="15" hidden="false" customHeight="false" outlineLevel="0" collapsed="false">
      <c r="D617" s="40"/>
    </row>
    <row r="618" customFormat="false" ht="15" hidden="false" customHeight="false" outlineLevel="0" collapsed="false">
      <c r="D618" s="40"/>
    </row>
    <row r="619" customFormat="false" ht="15" hidden="false" customHeight="false" outlineLevel="0" collapsed="false">
      <c r="D619" s="40"/>
    </row>
    <row r="620" customFormat="false" ht="15" hidden="false" customHeight="false" outlineLevel="0" collapsed="false">
      <c r="D620" s="40"/>
    </row>
    <row r="621" customFormat="false" ht="15" hidden="false" customHeight="false" outlineLevel="0" collapsed="false">
      <c r="D621" s="40"/>
    </row>
    <row r="622" customFormat="false" ht="15" hidden="false" customHeight="false" outlineLevel="0" collapsed="false">
      <c r="D622" s="40"/>
    </row>
    <row r="623" customFormat="false" ht="15" hidden="false" customHeight="false" outlineLevel="0" collapsed="false">
      <c r="D623" s="40"/>
    </row>
    <row r="624" customFormat="false" ht="15" hidden="false" customHeight="false" outlineLevel="0" collapsed="false">
      <c r="D624" s="40"/>
    </row>
    <row r="625" customFormat="false" ht="15" hidden="false" customHeight="false" outlineLevel="0" collapsed="false">
      <c r="D625" s="40"/>
    </row>
    <row r="626" customFormat="false" ht="15" hidden="false" customHeight="false" outlineLevel="0" collapsed="false">
      <c r="D626" s="40"/>
    </row>
    <row r="627" customFormat="false" ht="15" hidden="false" customHeight="false" outlineLevel="0" collapsed="false">
      <c r="D627" s="40"/>
    </row>
    <row r="628" customFormat="false" ht="15" hidden="false" customHeight="false" outlineLevel="0" collapsed="false">
      <c r="D628" s="40"/>
    </row>
    <row r="629" customFormat="false" ht="15" hidden="false" customHeight="false" outlineLevel="0" collapsed="false">
      <c r="D629" s="40"/>
    </row>
    <row r="630" customFormat="false" ht="15" hidden="false" customHeight="false" outlineLevel="0" collapsed="false">
      <c r="D630" s="40"/>
    </row>
    <row r="631" customFormat="false" ht="15" hidden="false" customHeight="false" outlineLevel="0" collapsed="false">
      <c r="D631" s="40"/>
    </row>
    <row r="632" customFormat="false" ht="15" hidden="false" customHeight="false" outlineLevel="0" collapsed="false">
      <c r="D632" s="40"/>
    </row>
    <row r="633" customFormat="false" ht="15" hidden="false" customHeight="false" outlineLevel="0" collapsed="false">
      <c r="D633" s="40"/>
    </row>
    <row r="634" customFormat="false" ht="15" hidden="false" customHeight="false" outlineLevel="0" collapsed="false">
      <c r="D634" s="40"/>
    </row>
    <row r="635" customFormat="false" ht="15" hidden="false" customHeight="false" outlineLevel="0" collapsed="false">
      <c r="D635" s="40"/>
    </row>
    <row r="636" customFormat="false" ht="15" hidden="false" customHeight="false" outlineLevel="0" collapsed="false">
      <c r="D636" s="40"/>
    </row>
    <row r="637" customFormat="false" ht="15" hidden="false" customHeight="false" outlineLevel="0" collapsed="false">
      <c r="D637" s="40"/>
    </row>
    <row r="638" customFormat="false" ht="15" hidden="false" customHeight="false" outlineLevel="0" collapsed="false">
      <c r="D638" s="40"/>
    </row>
    <row r="639" customFormat="false" ht="15" hidden="false" customHeight="false" outlineLevel="0" collapsed="false">
      <c r="D639" s="40"/>
    </row>
    <row r="640" customFormat="false" ht="15" hidden="false" customHeight="false" outlineLevel="0" collapsed="false">
      <c r="D640" s="40"/>
    </row>
    <row r="641" customFormat="false" ht="15" hidden="false" customHeight="false" outlineLevel="0" collapsed="false">
      <c r="D641" s="40"/>
    </row>
    <row r="642" customFormat="false" ht="15" hidden="false" customHeight="false" outlineLevel="0" collapsed="false">
      <c r="D642" s="40"/>
    </row>
    <row r="643" customFormat="false" ht="15" hidden="false" customHeight="false" outlineLevel="0" collapsed="false">
      <c r="D643" s="40"/>
    </row>
    <row r="644" customFormat="false" ht="15" hidden="false" customHeight="false" outlineLevel="0" collapsed="false">
      <c r="D644" s="40"/>
    </row>
    <row r="645" customFormat="false" ht="15" hidden="false" customHeight="false" outlineLevel="0" collapsed="false">
      <c r="D645" s="40"/>
    </row>
    <row r="646" customFormat="false" ht="15" hidden="false" customHeight="false" outlineLevel="0" collapsed="false">
      <c r="D646" s="40"/>
    </row>
    <row r="647" customFormat="false" ht="15" hidden="false" customHeight="false" outlineLevel="0" collapsed="false">
      <c r="D647" s="40"/>
    </row>
    <row r="648" customFormat="false" ht="15" hidden="false" customHeight="false" outlineLevel="0" collapsed="false">
      <c r="D648" s="40"/>
    </row>
    <row r="649" customFormat="false" ht="15" hidden="false" customHeight="false" outlineLevel="0" collapsed="false">
      <c r="D649" s="40"/>
    </row>
    <row r="650" customFormat="false" ht="15" hidden="false" customHeight="false" outlineLevel="0" collapsed="false">
      <c r="D650" s="40"/>
    </row>
    <row r="651" customFormat="false" ht="15" hidden="false" customHeight="false" outlineLevel="0" collapsed="false">
      <c r="D651" s="40"/>
    </row>
    <row r="652" customFormat="false" ht="15" hidden="false" customHeight="false" outlineLevel="0" collapsed="false">
      <c r="D652" s="40"/>
    </row>
    <row r="653" customFormat="false" ht="15" hidden="false" customHeight="false" outlineLevel="0" collapsed="false">
      <c r="D653" s="40"/>
    </row>
    <row r="654" customFormat="false" ht="15" hidden="false" customHeight="false" outlineLevel="0" collapsed="false">
      <c r="D654" s="40"/>
    </row>
    <row r="655" customFormat="false" ht="15" hidden="false" customHeight="false" outlineLevel="0" collapsed="false">
      <c r="D655" s="40"/>
    </row>
    <row r="656" customFormat="false" ht="15" hidden="false" customHeight="false" outlineLevel="0" collapsed="false">
      <c r="D656" s="40"/>
    </row>
    <row r="657" customFormat="false" ht="15" hidden="false" customHeight="false" outlineLevel="0" collapsed="false">
      <c r="D657" s="40"/>
    </row>
    <row r="658" customFormat="false" ht="15" hidden="false" customHeight="false" outlineLevel="0" collapsed="false">
      <c r="D658" s="40"/>
    </row>
    <row r="659" customFormat="false" ht="15" hidden="false" customHeight="false" outlineLevel="0" collapsed="false">
      <c r="D659" s="40"/>
    </row>
    <row r="660" customFormat="false" ht="15" hidden="false" customHeight="false" outlineLevel="0" collapsed="false">
      <c r="D660" s="40"/>
    </row>
    <row r="661" customFormat="false" ht="15" hidden="false" customHeight="false" outlineLevel="0" collapsed="false">
      <c r="D661" s="40"/>
    </row>
    <row r="662" customFormat="false" ht="15" hidden="false" customHeight="false" outlineLevel="0" collapsed="false">
      <c r="D662" s="40"/>
    </row>
    <row r="663" customFormat="false" ht="15" hidden="false" customHeight="false" outlineLevel="0" collapsed="false">
      <c r="D663" s="40"/>
    </row>
    <row r="664" customFormat="false" ht="15" hidden="false" customHeight="false" outlineLevel="0" collapsed="false">
      <c r="D664" s="40"/>
    </row>
    <row r="665" customFormat="false" ht="15" hidden="false" customHeight="false" outlineLevel="0" collapsed="false">
      <c r="D665" s="40"/>
    </row>
    <row r="666" customFormat="false" ht="15" hidden="false" customHeight="false" outlineLevel="0" collapsed="false">
      <c r="D666" s="40"/>
    </row>
    <row r="667" customFormat="false" ht="15" hidden="false" customHeight="false" outlineLevel="0" collapsed="false">
      <c r="D667" s="40"/>
    </row>
    <row r="668" customFormat="false" ht="15" hidden="false" customHeight="false" outlineLevel="0" collapsed="false">
      <c r="D668" s="40"/>
    </row>
    <row r="669" customFormat="false" ht="15" hidden="false" customHeight="false" outlineLevel="0" collapsed="false">
      <c r="D669" s="40"/>
    </row>
    <row r="670" customFormat="false" ht="15" hidden="false" customHeight="false" outlineLevel="0" collapsed="false">
      <c r="D670" s="40"/>
    </row>
    <row r="671" customFormat="false" ht="15" hidden="false" customHeight="false" outlineLevel="0" collapsed="false">
      <c r="D671" s="40"/>
    </row>
    <row r="672" customFormat="false" ht="15" hidden="false" customHeight="false" outlineLevel="0" collapsed="false">
      <c r="D672" s="40"/>
    </row>
    <row r="673" customFormat="false" ht="15" hidden="false" customHeight="false" outlineLevel="0" collapsed="false">
      <c r="D673" s="40"/>
    </row>
    <row r="674" customFormat="false" ht="15" hidden="false" customHeight="false" outlineLevel="0" collapsed="false">
      <c r="D674" s="40"/>
    </row>
    <row r="675" customFormat="false" ht="15" hidden="false" customHeight="false" outlineLevel="0" collapsed="false">
      <c r="D675" s="40"/>
    </row>
    <row r="676" customFormat="false" ht="15" hidden="false" customHeight="false" outlineLevel="0" collapsed="false">
      <c r="D676" s="40"/>
    </row>
    <row r="677" customFormat="false" ht="15" hidden="false" customHeight="false" outlineLevel="0" collapsed="false">
      <c r="D677" s="40"/>
    </row>
    <row r="678" customFormat="false" ht="15" hidden="false" customHeight="false" outlineLevel="0" collapsed="false">
      <c r="D678" s="40"/>
    </row>
    <row r="679" customFormat="false" ht="15" hidden="false" customHeight="false" outlineLevel="0" collapsed="false">
      <c r="D679" s="40"/>
    </row>
    <row r="680" customFormat="false" ht="15" hidden="false" customHeight="false" outlineLevel="0" collapsed="false">
      <c r="D680" s="40"/>
    </row>
    <row r="681" customFormat="false" ht="15" hidden="false" customHeight="false" outlineLevel="0" collapsed="false">
      <c r="D681" s="40"/>
    </row>
    <row r="682" customFormat="false" ht="15" hidden="false" customHeight="false" outlineLevel="0" collapsed="false">
      <c r="D682" s="40"/>
    </row>
    <row r="683" customFormat="false" ht="15" hidden="false" customHeight="false" outlineLevel="0" collapsed="false">
      <c r="D683" s="40"/>
    </row>
    <row r="684" customFormat="false" ht="15" hidden="false" customHeight="false" outlineLevel="0" collapsed="false">
      <c r="D684" s="40"/>
    </row>
    <row r="685" customFormat="false" ht="15" hidden="false" customHeight="false" outlineLevel="0" collapsed="false">
      <c r="D685" s="40"/>
    </row>
    <row r="686" customFormat="false" ht="15" hidden="false" customHeight="false" outlineLevel="0" collapsed="false">
      <c r="D686" s="40"/>
    </row>
    <row r="687" customFormat="false" ht="15" hidden="false" customHeight="false" outlineLevel="0" collapsed="false">
      <c r="D687" s="40"/>
    </row>
    <row r="688" customFormat="false" ht="15" hidden="false" customHeight="false" outlineLevel="0" collapsed="false">
      <c r="D688" s="40"/>
    </row>
    <row r="689" customFormat="false" ht="15" hidden="false" customHeight="false" outlineLevel="0" collapsed="false">
      <c r="D689" s="40"/>
    </row>
    <row r="690" customFormat="false" ht="15" hidden="false" customHeight="false" outlineLevel="0" collapsed="false">
      <c r="D690" s="40"/>
    </row>
    <row r="691" customFormat="false" ht="15" hidden="false" customHeight="false" outlineLevel="0" collapsed="false">
      <c r="D691" s="40"/>
    </row>
    <row r="692" customFormat="false" ht="15" hidden="false" customHeight="false" outlineLevel="0" collapsed="false">
      <c r="D692" s="40"/>
    </row>
    <row r="693" customFormat="false" ht="15" hidden="false" customHeight="false" outlineLevel="0" collapsed="false">
      <c r="D693" s="40"/>
    </row>
    <row r="694" customFormat="false" ht="15" hidden="false" customHeight="false" outlineLevel="0" collapsed="false">
      <c r="D694" s="40"/>
    </row>
    <row r="695" customFormat="false" ht="15" hidden="false" customHeight="false" outlineLevel="0" collapsed="false">
      <c r="D695" s="40"/>
    </row>
    <row r="696" customFormat="false" ht="15" hidden="false" customHeight="false" outlineLevel="0" collapsed="false">
      <c r="D696" s="40"/>
    </row>
    <row r="697" customFormat="false" ht="15" hidden="false" customHeight="false" outlineLevel="0" collapsed="false">
      <c r="D697" s="40"/>
    </row>
    <row r="698" customFormat="false" ht="15" hidden="false" customHeight="false" outlineLevel="0" collapsed="false">
      <c r="D698" s="40"/>
    </row>
    <row r="699" customFormat="false" ht="15" hidden="false" customHeight="false" outlineLevel="0" collapsed="false">
      <c r="D699" s="40"/>
    </row>
    <row r="700" customFormat="false" ht="15" hidden="false" customHeight="false" outlineLevel="0" collapsed="false">
      <c r="D700" s="40"/>
    </row>
    <row r="701" customFormat="false" ht="15" hidden="false" customHeight="false" outlineLevel="0" collapsed="false">
      <c r="D701" s="40"/>
    </row>
    <row r="702" customFormat="false" ht="15" hidden="false" customHeight="false" outlineLevel="0" collapsed="false">
      <c r="D702" s="40"/>
    </row>
    <row r="703" customFormat="false" ht="15" hidden="false" customHeight="false" outlineLevel="0" collapsed="false">
      <c r="D703" s="40"/>
    </row>
    <row r="704" customFormat="false" ht="15" hidden="false" customHeight="false" outlineLevel="0" collapsed="false">
      <c r="D704" s="40"/>
    </row>
    <row r="705" customFormat="false" ht="15" hidden="false" customHeight="false" outlineLevel="0" collapsed="false">
      <c r="D705" s="40"/>
    </row>
    <row r="706" customFormat="false" ht="15" hidden="false" customHeight="false" outlineLevel="0" collapsed="false">
      <c r="D706" s="40"/>
    </row>
    <row r="707" customFormat="false" ht="15" hidden="false" customHeight="false" outlineLevel="0" collapsed="false">
      <c r="D707" s="40"/>
    </row>
    <row r="708" customFormat="false" ht="15" hidden="false" customHeight="false" outlineLevel="0" collapsed="false">
      <c r="D708" s="40"/>
    </row>
    <row r="709" customFormat="false" ht="15" hidden="false" customHeight="false" outlineLevel="0" collapsed="false">
      <c r="D709" s="40"/>
    </row>
    <row r="710" customFormat="false" ht="15" hidden="false" customHeight="false" outlineLevel="0" collapsed="false">
      <c r="D710" s="40"/>
    </row>
    <row r="711" customFormat="false" ht="15" hidden="false" customHeight="false" outlineLevel="0" collapsed="false">
      <c r="D711" s="40"/>
    </row>
    <row r="712" customFormat="false" ht="15" hidden="false" customHeight="false" outlineLevel="0" collapsed="false">
      <c r="D712" s="40"/>
    </row>
    <row r="713" customFormat="false" ht="15" hidden="false" customHeight="false" outlineLevel="0" collapsed="false">
      <c r="D713" s="40"/>
    </row>
    <row r="714" customFormat="false" ht="15" hidden="false" customHeight="false" outlineLevel="0" collapsed="false">
      <c r="D714" s="40"/>
    </row>
    <row r="715" customFormat="false" ht="15" hidden="false" customHeight="false" outlineLevel="0" collapsed="false">
      <c r="D715" s="40"/>
    </row>
    <row r="716" customFormat="false" ht="15" hidden="false" customHeight="false" outlineLevel="0" collapsed="false">
      <c r="D716" s="40"/>
    </row>
    <row r="717" customFormat="false" ht="15" hidden="false" customHeight="false" outlineLevel="0" collapsed="false">
      <c r="D717" s="40"/>
    </row>
    <row r="718" customFormat="false" ht="15" hidden="false" customHeight="false" outlineLevel="0" collapsed="false">
      <c r="D718" s="40"/>
    </row>
    <row r="719" customFormat="false" ht="15" hidden="false" customHeight="false" outlineLevel="0" collapsed="false">
      <c r="D719" s="40"/>
    </row>
    <row r="720" customFormat="false" ht="15" hidden="false" customHeight="false" outlineLevel="0" collapsed="false">
      <c r="D720" s="40"/>
    </row>
    <row r="721" customFormat="false" ht="15" hidden="false" customHeight="false" outlineLevel="0" collapsed="false">
      <c r="D721" s="40"/>
    </row>
    <row r="722" customFormat="false" ht="15" hidden="false" customHeight="false" outlineLevel="0" collapsed="false">
      <c r="D722" s="40"/>
    </row>
    <row r="723" customFormat="false" ht="15" hidden="false" customHeight="false" outlineLevel="0" collapsed="false">
      <c r="D723" s="40"/>
    </row>
    <row r="724" customFormat="false" ht="15" hidden="false" customHeight="false" outlineLevel="0" collapsed="false">
      <c r="D724" s="40"/>
    </row>
    <row r="725" customFormat="false" ht="15" hidden="false" customHeight="false" outlineLevel="0" collapsed="false">
      <c r="D725" s="40"/>
    </row>
    <row r="726" customFormat="false" ht="15" hidden="false" customHeight="false" outlineLevel="0" collapsed="false">
      <c r="D726" s="40"/>
    </row>
    <row r="727" customFormat="false" ht="15" hidden="false" customHeight="false" outlineLevel="0" collapsed="false">
      <c r="D727" s="40"/>
    </row>
    <row r="728" customFormat="false" ht="15" hidden="false" customHeight="false" outlineLevel="0" collapsed="false">
      <c r="D728" s="40"/>
    </row>
    <row r="729" customFormat="false" ht="15" hidden="false" customHeight="false" outlineLevel="0" collapsed="false">
      <c r="D729" s="40"/>
    </row>
    <row r="730" customFormat="false" ht="15" hidden="false" customHeight="false" outlineLevel="0" collapsed="false">
      <c r="D730" s="40"/>
    </row>
    <row r="731" customFormat="false" ht="15" hidden="false" customHeight="false" outlineLevel="0" collapsed="false">
      <c r="D731" s="40"/>
    </row>
    <row r="732" customFormat="false" ht="15" hidden="false" customHeight="false" outlineLevel="0" collapsed="false">
      <c r="D732" s="40"/>
    </row>
    <row r="733" customFormat="false" ht="15" hidden="false" customHeight="false" outlineLevel="0" collapsed="false">
      <c r="D733" s="40"/>
    </row>
    <row r="734" customFormat="false" ht="15" hidden="false" customHeight="false" outlineLevel="0" collapsed="false">
      <c r="D734" s="40"/>
    </row>
    <row r="735" customFormat="false" ht="15" hidden="false" customHeight="false" outlineLevel="0" collapsed="false">
      <c r="D735" s="40"/>
    </row>
    <row r="736" customFormat="false" ht="15" hidden="false" customHeight="false" outlineLevel="0" collapsed="false">
      <c r="D736" s="40"/>
    </row>
    <row r="737" customFormat="false" ht="15" hidden="false" customHeight="false" outlineLevel="0" collapsed="false">
      <c r="D737" s="40"/>
    </row>
    <row r="738" customFormat="false" ht="15" hidden="false" customHeight="false" outlineLevel="0" collapsed="false">
      <c r="D738" s="40"/>
    </row>
    <row r="739" customFormat="false" ht="15" hidden="false" customHeight="false" outlineLevel="0" collapsed="false">
      <c r="D739" s="40"/>
    </row>
    <row r="740" customFormat="false" ht="15" hidden="false" customHeight="false" outlineLevel="0" collapsed="false">
      <c r="D740" s="40"/>
    </row>
    <row r="741" customFormat="false" ht="15" hidden="false" customHeight="false" outlineLevel="0" collapsed="false">
      <c r="D741" s="40"/>
    </row>
    <row r="742" customFormat="false" ht="15" hidden="false" customHeight="false" outlineLevel="0" collapsed="false">
      <c r="D742" s="40"/>
    </row>
    <row r="743" customFormat="false" ht="15" hidden="false" customHeight="false" outlineLevel="0" collapsed="false">
      <c r="D743" s="40"/>
    </row>
    <row r="744" customFormat="false" ht="15" hidden="false" customHeight="false" outlineLevel="0" collapsed="false">
      <c r="D744" s="40"/>
    </row>
    <row r="745" customFormat="false" ht="15" hidden="false" customHeight="false" outlineLevel="0" collapsed="false">
      <c r="D745" s="40"/>
    </row>
    <row r="746" customFormat="false" ht="15" hidden="false" customHeight="false" outlineLevel="0" collapsed="false">
      <c r="D746" s="40"/>
    </row>
    <row r="747" customFormat="false" ht="15" hidden="false" customHeight="false" outlineLevel="0" collapsed="false">
      <c r="D747" s="40"/>
    </row>
    <row r="748" customFormat="false" ht="15" hidden="false" customHeight="false" outlineLevel="0" collapsed="false">
      <c r="D748" s="40"/>
    </row>
    <row r="749" customFormat="false" ht="15" hidden="false" customHeight="false" outlineLevel="0" collapsed="false">
      <c r="D749" s="40"/>
    </row>
    <row r="750" customFormat="false" ht="15" hidden="false" customHeight="false" outlineLevel="0" collapsed="false">
      <c r="D750" s="40"/>
    </row>
    <row r="751" customFormat="false" ht="15" hidden="false" customHeight="false" outlineLevel="0" collapsed="false">
      <c r="D751" s="40"/>
    </row>
    <row r="752" customFormat="false" ht="15" hidden="false" customHeight="false" outlineLevel="0" collapsed="false">
      <c r="D752" s="40"/>
    </row>
    <row r="753" customFormat="false" ht="15" hidden="false" customHeight="false" outlineLevel="0" collapsed="false">
      <c r="D753" s="40"/>
    </row>
    <row r="754" customFormat="false" ht="15" hidden="false" customHeight="false" outlineLevel="0" collapsed="false">
      <c r="D754" s="40"/>
    </row>
    <row r="755" customFormat="false" ht="15" hidden="false" customHeight="false" outlineLevel="0" collapsed="false">
      <c r="D755" s="40"/>
    </row>
    <row r="756" customFormat="false" ht="15" hidden="false" customHeight="false" outlineLevel="0" collapsed="false">
      <c r="D756" s="40"/>
    </row>
    <row r="757" customFormat="false" ht="15" hidden="false" customHeight="false" outlineLevel="0" collapsed="false">
      <c r="D757" s="40"/>
    </row>
    <row r="758" customFormat="false" ht="15" hidden="false" customHeight="false" outlineLevel="0" collapsed="false">
      <c r="D758" s="40"/>
    </row>
    <row r="759" customFormat="false" ht="15" hidden="false" customHeight="false" outlineLevel="0" collapsed="false">
      <c r="D759" s="40"/>
    </row>
    <row r="760" customFormat="false" ht="15" hidden="false" customHeight="false" outlineLevel="0" collapsed="false">
      <c r="D760" s="40"/>
    </row>
    <row r="761" customFormat="false" ht="15" hidden="false" customHeight="false" outlineLevel="0" collapsed="false">
      <c r="D761" s="40"/>
    </row>
    <row r="762" customFormat="false" ht="15" hidden="false" customHeight="false" outlineLevel="0" collapsed="false">
      <c r="D762" s="40"/>
    </row>
    <row r="763" customFormat="false" ht="15" hidden="false" customHeight="false" outlineLevel="0" collapsed="false">
      <c r="D763" s="40"/>
    </row>
    <row r="764" customFormat="false" ht="15" hidden="false" customHeight="false" outlineLevel="0" collapsed="false">
      <c r="D764" s="40"/>
    </row>
    <row r="765" customFormat="false" ht="15" hidden="false" customHeight="false" outlineLevel="0" collapsed="false">
      <c r="D765" s="40"/>
    </row>
    <row r="766" customFormat="false" ht="15" hidden="false" customHeight="false" outlineLevel="0" collapsed="false">
      <c r="D766" s="40"/>
    </row>
    <row r="767" customFormat="false" ht="15" hidden="false" customHeight="false" outlineLevel="0" collapsed="false">
      <c r="D767" s="40"/>
    </row>
    <row r="768" customFormat="false" ht="15" hidden="false" customHeight="false" outlineLevel="0" collapsed="false">
      <c r="D768" s="40"/>
    </row>
    <row r="769" customFormat="false" ht="15" hidden="false" customHeight="false" outlineLevel="0" collapsed="false">
      <c r="D769" s="40"/>
    </row>
    <row r="770" customFormat="false" ht="15" hidden="false" customHeight="false" outlineLevel="0" collapsed="false">
      <c r="D770" s="40"/>
    </row>
    <row r="771" customFormat="false" ht="15" hidden="false" customHeight="false" outlineLevel="0" collapsed="false">
      <c r="D771" s="40"/>
    </row>
    <row r="772" customFormat="false" ht="15" hidden="false" customHeight="false" outlineLevel="0" collapsed="false">
      <c r="D772" s="40"/>
    </row>
    <row r="773" customFormat="false" ht="15" hidden="false" customHeight="false" outlineLevel="0" collapsed="false">
      <c r="D773" s="40"/>
    </row>
    <row r="774" customFormat="false" ht="15" hidden="false" customHeight="false" outlineLevel="0" collapsed="false">
      <c r="D774" s="40"/>
    </row>
    <row r="775" customFormat="false" ht="15" hidden="false" customHeight="false" outlineLevel="0" collapsed="false">
      <c r="D775" s="40"/>
    </row>
    <row r="776" customFormat="false" ht="15" hidden="false" customHeight="false" outlineLevel="0" collapsed="false">
      <c r="D776" s="40"/>
    </row>
    <row r="777" customFormat="false" ht="15" hidden="false" customHeight="false" outlineLevel="0" collapsed="false">
      <c r="D777" s="40"/>
    </row>
    <row r="778" customFormat="false" ht="15" hidden="false" customHeight="false" outlineLevel="0" collapsed="false">
      <c r="D778" s="40"/>
    </row>
    <row r="779" customFormat="false" ht="15" hidden="false" customHeight="false" outlineLevel="0" collapsed="false">
      <c r="D779" s="40"/>
    </row>
    <row r="780" customFormat="false" ht="15" hidden="false" customHeight="false" outlineLevel="0" collapsed="false">
      <c r="D780" s="40"/>
    </row>
    <row r="781" customFormat="false" ht="15" hidden="false" customHeight="false" outlineLevel="0" collapsed="false">
      <c r="D781" s="40"/>
    </row>
    <row r="782" customFormat="false" ht="15" hidden="false" customHeight="false" outlineLevel="0" collapsed="false">
      <c r="D782" s="40"/>
    </row>
    <row r="783" customFormat="false" ht="15" hidden="false" customHeight="false" outlineLevel="0" collapsed="false">
      <c r="D783" s="40"/>
    </row>
    <row r="784" customFormat="false" ht="15" hidden="false" customHeight="false" outlineLevel="0" collapsed="false">
      <c r="D784" s="40"/>
    </row>
    <row r="785" customFormat="false" ht="15" hidden="false" customHeight="false" outlineLevel="0" collapsed="false">
      <c r="D785" s="40"/>
    </row>
    <row r="786" customFormat="false" ht="15" hidden="false" customHeight="false" outlineLevel="0" collapsed="false">
      <c r="D786" s="40"/>
    </row>
    <row r="787" customFormat="false" ht="15" hidden="false" customHeight="false" outlineLevel="0" collapsed="false">
      <c r="D787" s="40"/>
    </row>
    <row r="788" customFormat="false" ht="15" hidden="false" customHeight="false" outlineLevel="0" collapsed="false">
      <c r="D788" s="40"/>
    </row>
    <row r="789" customFormat="false" ht="15" hidden="false" customHeight="false" outlineLevel="0" collapsed="false">
      <c r="D789" s="40"/>
    </row>
    <row r="790" customFormat="false" ht="15" hidden="false" customHeight="false" outlineLevel="0" collapsed="false">
      <c r="D790" s="40"/>
    </row>
    <row r="791" customFormat="false" ht="15" hidden="false" customHeight="false" outlineLevel="0" collapsed="false">
      <c r="D791" s="40"/>
    </row>
    <row r="792" customFormat="false" ht="15" hidden="false" customHeight="false" outlineLevel="0" collapsed="false">
      <c r="D792" s="40"/>
    </row>
    <row r="793" customFormat="false" ht="15" hidden="false" customHeight="false" outlineLevel="0" collapsed="false">
      <c r="D793" s="40"/>
    </row>
    <row r="794" customFormat="false" ht="15" hidden="false" customHeight="false" outlineLevel="0" collapsed="false">
      <c r="D794" s="40"/>
    </row>
    <row r="795" customFormat="false" ht="15" hidden="false" customHeight="false" outlineLevel="0" collapsed="false">
      <c r="D795" s="40"/>
    </row>
    <row r="796" customFormat="false" ht="15" hidden="false" customHeight="false" outlineLevel="0" collapsed="false">
      <c r="D796" s="40"/>
    </row>
    <row r="797" customFormat="false" ht="15" hidden="false" customHeight="false" outlineLevel="0" collapsed="false">
      <c r="D797" s="40"/>
    </row>
    <row r="798" customFormat="false" ht="15" hidden="false" customHeight="false" outlineLevel="0" collapsed="false">
      <c r="D798" s="40"/>
    </row>
    <row r="799" customFormat="false" ht="15" hidden="false" customHeight="false" outlineLevel="0" collapsed="false">
      <c r="D799" s="40"/>
    </row>
    <row r="800" customFormat="false" ht="15" hidden="false" customHeight="false" outlineLevel="0" collapsed="false">
      <c r="D800" s="40"/>
    </row>
    <row r="801" customFormat="false" ht="15" hidden="false" customHeight="false" outlineLevel="0" collapsed="false">
      <c r="D801" s="40"/>
    </row>
    <row r="802" customFormat="false" ht="15" hidden="false" customHeight="false" outlineLevel="0" collapsed="false">
      <c r="D802" s="40"/>
    </row>
    <row r="803" customFormat="false" ht="15" hidden="false" customHeight="false" outlineLevel="0" collapsed="false">
      <c r="D803" s="40"/>
    </row>
    <row r="804" customFormat="false" ht="15" hidden="false" customHeight="false" outlineLevel="0" collapsed="false">
      <c r="D804" s="40"/>
    </row>
    <row r="805" customFormat="false" ht="15" hidden="false" customHeight="false" outlineLevel="0" collapsed="false">
      <c r="D805" s="40"/>
    </row>
    <row r="806" customFormat="false" ht="15" hidden="false" customHeight="false" outlineLevel="0" collapsed="false">
      <c r="D806" s="40"/>
    </row>
    <row r="807" customFormat="false" ht="15" hidden="false" customHeight="false" outlineLevel="0" collapsed="false">
      <c r="D807" s="40"/>
    </row>
    <row r="808" customFormat="false" ht="15" hidden="false" customHeight="false" outlineLevel="0" collapsed="false">
      <c r="D808" s="40"/>
    </row>
    <row r="809" customFormat="false" ht="15" hidden="false" customHeight="false" outlineLevel="0" collapsed="false">
      <c r="D809" s="40"/>
    </row>
    <row r="810" customFormat="false" ht="15" hidden="false" customHeight="false" outlineLevel="0" collapsed="false">
      <c r="D810" s="40"/>
    </row>
    <row r="811" customFormat="false" ht="15" hidden="false" customHeight="false" outlineLevel="0" collapsed="false">
      <c r="D811" s="40"/>
    </row>
    <row r="812" customFormat="false" ht="15" hidden="false" customHeight="false" outlineLevel="0" collapsed="false">
      <c r="D812" s="40"/>
    </row>
    <row r="813" customFormat="false" ht="15" hidden="false" customHeight="false" outlineLevel="0" collapsed="false">
      <c r="D813" s="40"/>
    </row>
    <row r="814" customFormat="false" ht="15" hidden="false" customHeight="false" outlineLevel="0" collapsed="false">
      <c r="D814" s="40"/>
    </row>
    <row r="815" customFormat="false" ht="15" hidden="false" customHeight="false" outlineLevel="0" collapsed="false">
      <c r="D815" s="40"/>
    </row>
    <row r="816" customFormat="false" ht="15" hidden="false" customHeight="false" outlineLevel="0" collapsed="false">
      <c r="D816" s="40"/>
    </row>
    <row r="817" customFormat="false" ht="15" hidden="false" customHeight="false" outlineLevel="0" collapsed="false">
      <c r="D817" s="40"/>
    </row>
    <row r="818" customFormat="false" ht="15" hidden="false" customHeight="false" outlineLevel="0" collapsed="false">
      <c r="D818" s="40"/>
    </row>
    <row r="819" customFormat="false" ht="15" hidden="false" customHeight="false" outlineLevel="0" collapsed="false">
      <c r="D819" s="40"/>
    </row>
    <row r="820" customFormat="false" ht="15" hidden="false" customHeight="false" outlineLevel="0" collapsed="false">
      <c r="D820" s="40"/>
    </row>
    <row r="821" customFormat="false" ht="15" hidden="false" customHeight="false" outlineLevel="0" collapsed="false">
      <c r="D821" s="40"/>
    </row>
    <row r="822" customFormat="false" ht="15" hidden="false" customHeight="false" outlineLevel="0" collapsed="false">
      <c r="D822" s="40"/>
    </row>
    <row r="823" customFormat="false" ht="15" hidden="false" customHeight="false" outlineLevel="0" collapsed="false">
      <c r="D823" s="40"/>
    </row>
    <row r="824" customFormat="false" ht="15" hidden="false" customHeight="false" outlineLevel="0" collapsed="false">
      <c r="D824" s="40"/>
    </row>
    <row r="825" customFormat="false" ht="15" hidden="false" customHeight="false" outlineLevel="0" collapsed="false">
      <c r="D825" s="40"/>
    </row>
    <row r="826" customFormat="false" ht="15" hidden="false" customHeight="false" outlineLevel="0" collapsed="false">
      <c r="D826" s="40"/>
    </row>
    <row r="827" customFormat="false" ht="15" hidden="false" customHeight="false" outlineLevel="0" collapsed="false">
      <c r="D827" s="40"/>
    </row>
    <row r="828" customFormat="false" ht="15" hidden="false" customHeight="false" outlineLevel="0" collapsed="false">
      <c r="D828" s="40"/>
    </row>
    <row r="829" customFormat="false" ht="15" hidden="false" customHeight="false" outlineLevel="0" collapsed="false">
      <c r="D829" s="40"/>
    </row>
    <row r="830" customFormat="false" ht="15" hidden="false" customHeight="false" outlineLevel="0" collapsed="false">
      <c r="D830" s="40"/>
    </row>
    <row r="831" customFormat="false" ht="15" hidden="false" customHeight="false" outlineLevel="0" collapsed="false">
      <c r="D831" s="40"/>
    </row>
    <row r="832" customFormat="false" ht="15" hidden="false" customHeight="false" outlineLevel="0" collapsed="false">
      <c r="D832" s="40"/>
    </row>
    <row r="833" customFormat="false" ht="15" hidden="false" customHeight="false" outlineLevel="0" collapsed="false">
      <c r="D833" s="40"/>
    </row>
    <row r="834" customFormat="false" ht="15" hidden="false" customHeight="false" outlineLevel="0" collapsed="false">
      <c r="D834" s="40"/>
    </row>
    <row r="835" customFormat="false" ht="15" hidden="false" customHeight="false" outlineLevel="0" collapsed="false">
      <c r="D835" s="40"/>
    </row>
    <row r="836" customFormat="false" ht="15" hidden="false" customHeight="false" outlineLevel="0" collapsed="false">
      <c r="D836" s="40"/>
    </row>
    <row r="837" customFormat="false" ht="15" hidden="false" customHeight="false" outlineLevel="0" collapsed="false">
      <c r="D837" s="40"/>
    </row>
    <row r="838" customFormat="false" ht="15" hidden="false" customHeight="false" outlineLevel="0" collapsed="false">
      <c r="D838" s="40"/>
    </row>
    <row r="839" customFormat="false" ht="15" hidden="false" customHeight="false" outlineLevel="0" collapsed="false">
      <c r="D839" s="40"/>
    </row>
    <row r="840" customFormat="false" ht="15" hidden="false" customHeight="false" outlineLevel="0" collapsed="false">
      <c r="D840" s="40"/>
    </row>
    <row r="841" customFormat="false" ht="15" hidden="false" customHeight="false" outlineLevel="0" collapsed="false">
      <c r="D841" s="40"/>
    </row>
    <row r="842" customFormat="false" ht="15" hidden="false" customHeight="false" outlineLevel="0" collapsed="false">
      <c r="D842" s="40"/>
    </row>
    <row r="843" customFormat="false" ht="15" hidden="false" customHeight="false" outlineLevel="0" collapsed="false">
      <c r="D843" s="40"/>
    </row>
    <row r="844" customFormat="false" ht="15" hidden="false" customHeight="false" outlineLevel="0" collapsed="false">
      <c r="D844" s="40"/>
    </row>
    <row r="845" customFormat="false" ht="15" hidden="false" customHeight="false" outlineLevel="0" collapsed="false">
      <c r="D845" s="40"/>
    </row>
    <row r="846" customFormat="false" ht="15" hidden="false" customHeight="false" outlineLevel="0" collapsed="false">
      <c r="D846" s="40"/>
    </row>
    <row r="847" customFormat="false" ht="15" hidden="false" customHeight="false" outlineLevel="0" collapsed="false">
      <c r="D847" s="40"/>
    </row>
    <row r="848" customFormat="false" ht="15" hidden="false" customHeight="false" outlineLevel="0" collapsed="false">
      <c r="D848" s="40"/>
    </row>
    <row r="849" customFormat="false" ht="15" hidden="false" customHeight="false" outlineLevel="0" collapsed="false">
      <c r="D849" s="40"/>
    </row>
    <row r="850" customFormat="false" ht="15" hidden="false" customHeight="false" outlineLevel="0" collapsed="false">
      <c r="D850" s="40"/>
    </row>
    <row r="851" customFormat="false" ht="15" hidden="false" customHeight="false" outlineLevel="0" collapsed="false">
      <c r="D851" s="40"/>
    </row>
    <row r="852" customFormat="false" ht="15" hidden="false" customHeight="false" outlineLevel="0" collapsed="false">
      <c r="D852" s="40"/>
    </row>
    <row r="853" customFormat="false" ht="15" hidden="false" customHeight="false" outlineLevel="0" collapsed="false">
      <c r="D853" s="40"/>
    </row>
    <row r="854" customFormat="false" ht="15" hidden="false" customHeight="false" outlineLevel="0" collapsed="false">
      <c r="D854" s="40"/>
    </row>
    <row r="855" customFormat="false" ht="15" hidden="false" customHeight="false" outlineLevel="0" collapsed="false">
      <c r="D855" s="40"/>
    </row>
    <row r="856" customFormat="false" ht="15" hidden="false" customHeight="false" outlineLevel="0" collapsed="false">
      <c r="D856" s="40"/>
    </row>
    <row r="857" customFormat="false" ht="15" hidden="false" customHeight="false" outlineLevel="0" collapsed="false">
      <c r="D857" s="40"/>
    </row>
    <row r="858" customFormat="false" ht="15" hidden="false" customHeight="false" outlineLevel="0" collapsed="false">
      <c r="D858" s="40"/>
    </row>
    <row r="859" customFormat="false" ht="15" hidden="false" customHeight="false" outlineLevel="0" collapsed="false">
      <c r="D859" s="40"/>
    </row>
    <row r="860" customFormat="false" ht="15" hidden="false" customHeight="false" outlineLevel="0" collapsed="false">
      <c r="D860" s="40"/>
    </row>
    <row r="861" customFormat="false" ht="15" hidden="false" customHeight="false" outlineLevel="0" collapsed="false">
      <c r="D861" s="40"/>
    </row>
    <row r="862" customFormat="false" ht="15" hidden="false" customHeight="false" outlineLevel="0" collapsed="false">
      <c r="D862" s="40"/>
    </row>
    <row r="863" customFormat="false" ht="15" hidden="false" customHeight="false" outlineLevel="0" collapsed="false">
      <c r="D863" s="40"/>
    </row>
    <row r="864" customFormat="false" ht="15" hidden="false" customHeight="false" outlineLevel="0" collapsed="false">
      <c r="D864" s="40"/>
    </row>
    <row r="865" customFormat="false" ht="15" hidden="false" customHeight="false" outlineLevel="0" collapsed="false">
      <c r="D865" s="40"/>
    </row>
    <row r="866" customFormat="false" ht="15" hidden="false" customHeight="false" outlineLevel="0" collapsed="false">
      <c r="D866" s="40"/>
    </row>
    <row r="867" customFormat="false" ht="15" hidden="false" customHeight="false" outlineLevel="0" collapsed="false">
      <c r="D867" s="40"/>
    </row>
    <row r="868" customFormat="false" ht="15" hidden="false" customHeight="false" outlineLevel="0" collapsed="false">
      <c r="D868" s="40"/>
    </row>
    <row r="869" customFormat="false" ht="15" hidden="false" customHeight="false" outlineLevel="0" collapsed="false">
      <c r="D869" s="40"/>
    </row>
    <row r="870" customFormat="false" ht="15" hidden="false" customHeight="false" outlineLevel="0" collapsed="false">
      <c r="D870" s="40"/>
    </row>
    <row r="871" customFormat="false" ht="15" hidden="false" customHeight="false" outlineLevel="0" collapsed="false">
      <c r="D871" s="40"/>
    </row>
    <row r="872" customFormat="false" ht="15" hidden="false" customHeight="false" outlineLevel="0" collapsed="false">
      <c r="D872" s="40"/>
    </row>
    <row r="873" customFormat="false" ht="15" hidden="false" customHeight="false" outlineLevel="0" collapsed="false">
      <c r="D873" s="40"/>
    </row>
    <row r="874" customFormat="false" ht="15" hidden="false" customHeight="false" outlineLevel="0" collapsed="false">
      <c r="D874" s="40"/>
    </row>
    <row r="875" customFormat="false" ht="15" hidden="false" customHeight="false" outlineLevel="0" collapsed="false">
      <c r="D875" s="40"/>
    </row>
    <row r="876" customFormat="false" ht="15" hidden="false" customHeight="false" outlineLevel="0" collapsed="false">
      <c r="D876" s="40"/>
    </row>
    <row r="877" customFormat="false" ht="15" hidden="false" customHeight="false" outlineLevel="0" collapsed="false">
      <c r="D877" s="40"/>
    </row>
    <row r="878" customFormat="false" ht="15" hidden="false" customHeight="false" outlineLevel="0" collapsed="false">
      <c r="D878" s="40"/>
    </row>
    <row r="879" customFormat="false" ht="15" hidden="false" customHeight="false" outlineLevel="0" collapsed="false">
      <c r="D879" s="40"/>
    </row>
    <row r="880" customFormat="false" ht="15" hidden="false" customHeight="false" outlineLevel="0" collapsed="false">
      <c r="D880" s="40"/>
    </row>
    <row r="881" customFormat="false" ht="15" hidden="false" customHeight="false" outlineLevel="0" collapsed="false">
      <c r="D881" s="40"/>
    </row>
    <row r="882" customFormat="false" ht="15" hidden="false" customHeight="false" outlineLevel="0" collapsed="false">
      <c r="D882" s="40"/>
    </row>
    <row r="883" customFormat="false" ht="15" hidden="false" customHeight="false" outlineLevel="0" collapsed="false">
      <c r="D883" s="40"/>
    </row>
    <row r="884" customFormat="false" ht="15" hidden="false" customHeight="false" outlineLevel="0" collapsed="false">
      <c r="D884" s="40"/>
    </row>
    <row r="885" customFormat="false" ht="15" hidden="false" customHeight="false" outlineLevel="0" collapsed="false">
      <c r="D885" s="40"/>
    </row>
    <row r="886" customFormat="false" ht="15" hidden="false" customHeight="false" outlineLevel="0" collapsed="false">
      <c r="D886" s="40"/>
    </row>
    <row r="887" customFormat="false" ht="15" hidden="false" customHeight="false" outlineLevel="0" collapsed="false">
      <c r="D887" s="40"/>
    </row>
    <row r="888" customFormat="false" ht="15" hidden="false" customHeight="false" outlineLevel="0" collapsed="false">
      <c r="D888" s="40"/>
    </row>
    <row r="889" customFormat="false" ht="15" hidden="false" customHeight="false" outlineLevel="0" collapsed="false">
      <c r="D889" s="40"/>
    </row>
    <row r="890" customFormat="false" ht="15" hidden="false" customHeight="false" outlineLevel="0" collapsed="false">
      <c r="D890" s="40"/>
    </row>
    <row r="891" customFormat="false" ht="15" hidden="false" customHeight="false" outlineLevel="0" collapsed="false">
      <c r="D891" s="40"/>
    </row>
    <row r="892" customFormat="false" ht="15" hidden="false" customHeight="false" outlineLevel="0" collapsed="false">
      <c r="D892" s="40"/>
    </row>
    <row r="893" customFormat="false" ht="15" hidden="false" customHeight="false" outlineLevel="0" collapsed="false">
      <c r="D893" s="40"/>
    </row>
    <row r="894" customFormat="false" ht="15" hidden="false" customHeight="false" outlineLevel="0" collapsed="false">
      <c r="D894" s="40"/>
    </row>
    <row r="895" customFormat="false" ht="15" hidden="false" customHeight="false" outlineLevel="0" collapsed="false">
      <c r="D895" s="40"/>
    </row>
    <row r="896" customFormat="false" ht="15" hidden="false" customHeight="false" outlineLevel="0" collapsed="false">
      <c r="D896" s="40"/>
    </row>
    <row r="897" customFormat="false" ht="15" hidden="false" customHeight="false" outlineLevel="0" collapsed="false">
      <c r="D897" s="40"/>
    </row>
    <row r="898" customFormat="false" ht="15" hidden="false" customHeight="false" outlineLevel="0" collapsed="false">
      <c r="D898" s="40"/>
    </row>
    <row r="899" customFormat="false" ht="15" hidden="false" customHeight="false" outlineLevel="0" collapsed="false">
      <c r="D899" s="40"/>
    </row>
    <row r="900" customFormat="false" ht="15" hidden="false" customHeight="false" outlineLevel="0" collapsed="false">
      <c r="D900" s="40"/>
    </row>
    <row r="901" customFormat="false" ht="15" hidden="false" customHeight="false" outlineLevel="0" collapsed="false">
      <c r="D901" s="40"/>
    </row>
    <row r="902" customFormat="false" ht="15" hidden="false" customHeight="false" outlineLevel="0" collapsed="false">
      <c r="D902" s="40"/>
    </row>
    <row r="903" customFormat="false" ht="15" hidden="false" customHeight="false" outlineLevel="0" collapsed="false">
      <c r="D903" s="40"/>
    </row>
    <row r="904" customFormat="false" ht="15" hidden="false" customHeight="false" outlineLevel="0" collapsed="false">
      <c r="D904" s="40"/>
    </row>
    <row r="905" customFormat="false" ht="15" hidden="false" customHeight="false" outlineLevel="0" collapsed="false">
      <c r="D905" s="40"/>
    </row>
    <row r="906" customFormat="false" ht="15" hidden="false" customHeight="false" outlineLevel="0" collapsed="false">
      <c r="D906" s="40"/>
    </row>
    <row r="907" customFormat="false" ht="15" hidden="false" customHeight="false" outlineLevel="0" collapsed="false">
      <c r="D907" s="40"/>
    </row>
    <row r="908" customFormat="false" ht="15" hidden="false" customHeight="false" outlineLevel="0" collapsed="false">
      <c r="D908" s="40"/>
    </row>
    <row r="909" customFormat="false" ht="15" hidden="false" customHeight="false" outlineLevel="0" collapsed="false">
      <c r="D909" s="40"/>
    </row>
    <row r="910" customFormat="false" ht="15" hidden="false" customHeight="false" outlineLevel="0" collapsed="false">
      <c r="D910" s="40"/>
    </row>
    <row r="911" customFormat="false" ht="15" hidden="false" customHeight="false" outlineLevel="0" collapsed="false">
      <c r="D911" s="40"/>
    </row>
    <row r="912" customFormat="false" ht="15" hidden="false" customHeight="false" outlineLevel="0" collapsed="false">
      <c r="D912" s="40"/>
    </row>
    <row r="913" customFormat="false" ht="15" hidden="false" customHeight="false" outlineLevel="0" collapsed="false">
      <c r="D913" s="40"/>
    </row>
    <row r="914" customFormat="false" ht="15" hidden="false" customHeight="false" outlineLevel="0" collapsed="false">
      <c r="D914" s="40"/>
    </row>
    <row r="915" customFormat="false" ht="15" hidden="false" customHeight="false" outlineLevel="0" collapsed="false">
      <c r="D915" s="40"/>
    </row>
    <row r="916" customFormat="false" ht="15" hidden="false" customHeight="false" outlineLevel="0" collapsed="false">
      <c r="D916" s="40"/>
    </row>
    <row r="917" customFormat="false" ht="15" hidden="false" customHeight="false" outlineLevel="0" collapsed="false">
      <c r="D917" s="40"/>
    </row>
    <row r="918" customFormat="false" ht="15" hidden="false" customHeight="false" outlineLevel="0" collapsed="false">
      <c r="D918" s="40"/>
    </row>
    <row r="919" customFormat="false" ht="15" hidden="false" customHeight="false" outlineLevel="0" collapsed="false">
      <c r="D919" s="40"/>
    </row>
    <row r="920" customFormat="false" ht="15" hidden="false" customHeight="false" outlineLevel="0" collapsed="false">
      <c r="D920" s="40"/>
    </row>
    <row r="921" customFormat="false" ht="15" hidden="false" customHeight="false" outlineLevel="0" collapsed="false">
      <c r="D921" s="40"/>
    </row>
    <row r="922" customFormat="false" ht="15" hidden="false" customHeight="false" outlineLevel="0" collapsed="false">
      <c r="D922" s="40"/>
    </row>
    <row r="923" customFormat="false" ht="15" hidden="false" customHeight="false" outlineLevel="0" collapsed="false">
      <c r="D923" s="40"/>
    </row>
    <row r="924" customFormat="false" ht="15" hidden="false" customHeight="false" outlineLevel="0" collapsed="false">
      <c r="D924" s="40"/>
    </row>
    <row r="925" customFormat="false" ht="15" hidden="false" customHeight="false" outlineLevel="0" collapsed="false">
      <c r="D925" s="40"/>
    </row>
    <row r="926" customFormat="false" ht="15" hidden="false" customHeight="false" outlineLevel="0" collapsed="false">
      <c r="D926" s="40"/>
    </row>
    <row r="927" customFormat="false" ht="15" hidden="false" customHeight="false" outlineLevel="0" collapsed="false">
      <c r="D927" s="40"/>
    </row>
    <row r="928" customFormat="false" ht="15" hidden="false" customHeight="false" outlineLevel="0" collapsed="false">
      <c r="D928" s="40"/>
    </row>
    <row r="929" customFormat="false" ht="15" hidden="false" customHeight="false" outlineLevel="0" collapsed="false">
      <c r="D929" s="40"/>
    </row>
    <row r="930" customFormat="false" ht="15" hidden="false" customHeight="false" outlineLevel="0" collapsed="false">
      <c r="D930" s="40"/>
    </row>
    <row r="931" customFormat="false" ht="15" hidden="false" customHeight="false" outlineLevel="0" collapsed="false">
      <c r="D931" s="40"/>
    </row>
    <row r="932" customFormat="false" ht="15" hidden="false" customHeight="false" outlineLevel="0" collapsed="false">
      <c r="D932" s="40"/>
    </row>
    <row r="933" customFormat="false" ht="15" hidden="false" customHeight="false" outlineLevel="0" collapsed="false">
      <c r="D933" s="40"/>
    </row>
    <row r="934" customFormat="false" ht="15" hidden="false" customHeight="false" outlineLevel="0" collapsed="false">
      <c r="D934" s="40"/>
    </row>
    <row r="935" customFormat="false" ht="15" hidden="false" customHeight="false" outlineLevel="0" collapsed="false">
      <c r="D935" s="40"/>
    </row>
    <row r="936" customFormat="false" ht="15" hidden="false" customHeight="false" outlineLevel="0" collapsed="false">
      <c r="D936" s="40"/>
    </row>
    <row r="937" customFormat="false" ht="15" hidden="false" customHeight="false" outlineLevel="0" collapsed="false">
      <c r="D937" s="40"/>
    </row>
    <row r="938" customFormat="false" ht="15" hidden="false" customHeight="false" outlineLevel="0" collapsed="false">
      <c r="D938" s="40"/>
    </row>
    <row r="939" customFormat="false" ht="15" hidden="false" customHeight="false" outlineLevel="0" collapsed="false">
      <c r="D939" s="40"/>
    </row>
    <row r="940" customFormat="false" ht="15" hidden="false" customHeight="false" outlineLevel="0" collapsed="false">
      <c r="D940" s="40"/>
    </row>
    <row r="941" customFormat="false" ht="15" hidden="false" customHeight="false" outlineLevel="0" collapsed="false">
      <c r="D941" s="40"/>
    </row>
    <row r="942" customFormat="false" ht="15" hidden="false" customHeight="false" outlineLevel="0" collapsed="false">
      <c r="D942" s="40"/>
    </row>
    <row r="943" customFormat="false" ht="15" hidden="false" customHeight="false" outlineLevel="0" collapsed="false">
      <c r="D943" s="40"/>
    </row>
    <row r="944" customFormat="false" ht="15" hidden="false" customHeight="false" outlineLevel="0" collapsed="false">
      <c r="D944" s="40"/>
    </row>
    <row r="945" customFormat="false" ht="15" hidden="false" customHeight="false" outlineLevel="0" collapsed="false">
      <c r="D945" s="40"/>
    </row>
    <row r="946" customFormat="false" ht="15" hidden="false" customHeight="false" outlineLevel="0" collapsed="false">
      <c r="D946" s="40"/>
    </row>
    <row r="947" customFormat="false" ht="15" hidden="false" customHeight="false" outlineLevel="0" collapsed="false">
      <c r="D947" s="40"/>
    </row>
    <row r="948" customFormat="false" ht="15" hidden="false" customHeight="false" outlineLevel="0" collapsed="false">
      <c r="D948" s="40"/>
    </row>
    <row r="949" customFormat="false" ht="15" hidden="false" customHeight="false" outlineLevel="0" collapsed="false">
      <c r="D949" s="40"/>
    </row>
    <row r="950" customFormat="false" ht="15" hidden="false" customHeight="false" outlineLevel="0" collapsed="false">
      <c r="D950" s="40"/>
    </row>
    <row r="951" customFormat="false" ht="15" hidden="false" customHeight="false" outlineLevel="0" collapsed="false">
      <c r="D951" s="40"/>
    </row>
    <row r="952" customFormat="false" ht="15" hidden="false" customHeight="false" outlineLevel="0" collapsed="false">
      <c r="D952" s="40"/>
    </row>
    <row r="953" customFormat="false" ht="15" hidden="false" customHeight="false" outlineLevel="0" collapsed="false">
      <c r="D953" s="40"/>
    </row>
    <row r="954" customFormat="false" ht="15" hidden="false" customHeight="false" outlineLevel="0" collapsed="false">
      <c r="D954" s="40"/>
    </row>
    <row r="955" customFormat="false" ht="15" hidden="false" customHeight="false" outlineLevel="0" collapsed="false">
      <c r="D955" s="40"/>
    </row>
    <row r="956" customFormat="false" ht="15" hidden="false" customHeight="false" outlineLevel="0" collapsed="false">
      <c r="D956" s="40"/>
    </row>
    <row r="957" customFormat="false" ht="15" hidden="false" customHeight="false" outlineLevel="0" collapsed="false">
      <c r="D957" s="40"/>
    </row>
    <row r="958" customFormat="false" ht="15" hidden="false" customHeight="false" outlineLevel="0" collapsed="false">
      <c r="D958" s="40"/>
    </row>
    <row r="959" customFormat="false" ht="15" hidden="false" customHeight="false" outlineLevel="0" collapsed="false">
      <c r="D959" s="40"/>
    </row>
    <row r="960" customFormat="false" ht="15" hidden="false" customHeight="false" outlineLevel="0" collapsed="false">
      <c r="D960" s="40"/>
    </row>
    <row r="961" customFormat="false" ht="15" hidden="false" customHeight="false" outlineLevel="0" collapsed="false">
      <c r="D961" s="40"/>
    </row>
    <row r="962" customFormat="false" ht="15" hidden="false" customHeight="false" outlineLevel="0" collapsed="false">
      <c r="D962" s="40"/>
    </row>
    <row r="963" customFormat="false" ht="15" hidden="false" customHeight="false" outlineLevel="0" collapsed="false">
      <c r="D963" s="40"/>
    </row>
    <row r="964" customFormat="false" ht="15" hidden="false" customHeight="false" outlineLevel="0" collapsed="false">
      <c r="D964" s="40"/>
    </row>
    <row r="965" customFormat="false" ht="15" hidden="false" customHeight="false" outlineLevel="0" collapsed="false">
      <c r="D965" s="40"/>
    </row>
    <row r="966" customFormat="false" ht="15" hidden="false" customHeight="false" outlineLevel="0" collapsed="false">
      <c r="D966" s="40"/>
    </row>
    <row r="967" customFormat="false" ht="15" hidden="false" customHeight="false" outlineLevel="0" collapsed="false">
      <c r="D967" s="40"/>
    </row>
    <row r="968" customFormat="false" ht="15" hidden="false" customHeight="false" outlineLevel="0" collapsed="false">
      <c r="D968" s="40"/>
    </row>
    <row r="969" customFormat="false" ht="15" hidden="false" customHeight="false" outlineLevel="0" collapsed="false">
      <c r="D969" s="40"/>
    </row>
    <row r="970" customFormat="false" ht="15" hidden="false" customHeight="false" outlineLevel="0" collapsed="false">
      <c r="D970" s="40"/>
    </row>
    <row r="971" customFormat="false" ht="15" hidden="false" customHeight="false" outlineLevel="0" collapsed="false">
      <c r="D971" s="40"/>
    </row>
    <row r="972" customFormat="false" ht="15" hidden="false" customHeight="false" outlineLevel="0" collapsed="false">
      <c r="D972" s="40"/>
    </row>
    <row r="973" customFormat="false" ht="15" hidden="false" customHeight="false" outlineLevel="0" collapsed="false">
      <c r="D973" s="40"/>
    </row>
    <row r="974" customFormat="false" ht="15" hidden="false" customHeight="false" outlineLevel="0" collapsed="false">
      <c r="D974" s="40"/>
    </row>
    <row r="975" customFormat="false" ht="15" hidden="false" customHeight="false" outlineLevel="0" collapsed="false">
      <c r="D975" s="40"/>
    </row>
    <row r="976" customFormat="false" ht="15" hidden="false" customHeight="false" outlineLevel="0" collapsed="false">
      <c r="D976" s="40"/>
    </row>
    <row r="977" customFormat="false" ht="15" hidden="false" customHeight="false" outlineLevel="0" collapsed="false">
      <c r="D977" s="40"/>
    </row>
    <row r="978" customFormat="false" ht="15" hidden="false" customHeight="false" outlineLevel="0" collapsed="false">
      <c r="D978" s="40"/>
    </row>
    <row r="979" customFormat="false" ht="15" hidden="false" customHeight="false" outlineLevel="0" collapsed="false">
      <c r="D979" s="40"/>
    </row>
    <row r="980" customFormat="false" ht="15" hidden="false" customHeight="false" outlineLevel="0" collapsed="false">
      <c r="D980" s="40"/>
    </row>
    <row r="981" customFormat="false" ht="15" hidden="false" customHeight="false" outlineLevel="0" collapsed="false">
      <c r="D981" s="40"/>
    </row>
    <row r="982" customFormat="false" ht="15" hidden="false" customHeight="false" outlineLevel="0" collapsed="false">
      <c r="D982" s="40"/>
    </row>
    <row r="983" customFormat="false" ht="15" hidden="false" customHeight="false" outlineLevel="0" collapsed="false">
      <c r="D983" s="40"/>
    </row>
    <row r="984" customFormat="false" ht="15" hidden="false" customHeight="false" outlineLevel="0" collapsed="false">
      <c r="D984" s="40"/>
    </row>
    <row r="985" customFormat="false" ht="15" hidden="false" customHeight="false" outlineLevel="0" collapsed="false">
      <c r="D985" s="40"/>
    </row>
    <row r="986" customFormat="false" ht="15" hidden="false" customHeight="false" outlineLevel="0" collapsed="false">
      <c r="D986" s="40"/>
    </row>
    <row r="987" customFormat="false" ht="15" hidden="false" customHeight="false" outlineLevel="0" collapsed="false">
      <c r="D987" s="40"/>
    </row>
    <row r="988" customFormat="false" ht="15" hidden="false" customHeight="false" outlineLevel="0" collapsed="false">
      <c r="D988" s="40"/>
    </row>
    <row r="989" customFormat="false" ht="15" hidden="false" customHeight="false" outlineLevel="0" collapsed="false">
      <c r="D989" s="40"/>
    </row>
    <row r="990" customFormat="false" ht="15" hidden="false" customHeight="false" outlineLevel="0" collapsed="false">
      <c r="D990" s="40"/>
    </row>
    <row r="991" customFormat="false" ht="15" hidden="false" customHeight="false" outlineLevel="0" collapsed="false">
      <c r="D991" s="40"/>
    </row>
    <row r="992" customFormat="false" ht="15" hidden="false" customHeight="false" outlineLevel="0" collapsed="false">
      <c r="D992" s="40"/>
    </row>
    <row r="993" customFormat="false" ht="15" hidden="false" customHeight="false" outlineLevel="0" collapsed="false">
      <c r="D993" s="40"/>
    </row>
    <row r="994" customFormat="false" ht="15" hidden="false" customHeight="false" outlineLevel="0" collapsed="false">
      <c r="D994" s="40"/>
    </row>
    <row r="995" customFormat="false" ht="15" hidden="false" customHeight="false" outlineLevel="0" collapsed="false">
      <c r="D995" s="40"/>
    </row>
    <row r="996" customFormat="false" ht="15" hidden="false" customHeight="false" outlineLevel="0" collapsed="false">
      <c r="D996" s="40"/>
    </row>
    <row r="997" customFormat="false" ht="15" hidden="false" customHeight="false" outlineLevel="0" collapsed="false">
      <c r="D997" s="40"/>
    </row>
    <row r="998" customFormat="false" ht="15" hidden="false" customHeight="false" outlineLevel="0" collapsed="false">
      <c r="D998" s="40"/>
    </row>
    <row r="999" customFormat="false" ht="15" hidden="false" customHeight="false" outlineLevel="0" collapsed="false">
      <c r="D999" s="40"/>
    </row>
    <row r="1000" customFormat="false" ht="15" hidden="false" customHeight="false" outlineLevel="0" collapsed="false">
      <c r="D1000" s="40"/>
    </row>
  </sheetData>
  <autoFilter ref="A1:D1000"/>
  <conditionalFormatting sqref="C2:C1000">
    <cfRule type="cellIs" priority="2" operator="equal" aboveAverage="0" equalAverage="0" bottom="0" percent="0" rank="0" text="" dxfId="13">
      <formula>"in use"</formula>
    </cfRule>
    <cfRule type="cellIs" priority="3" operator="equal" aboveAverage="0" equalAverage="0" bottom="0" percent="0" rank="0" text="" dxfId="14">
      <formula>"free"</formula>
    </cfRule>
  </conditionalFormatting>
  <dataValidations count="1">
    <dataValidation allowBlank="true" error="Pick a value from the machines.status list (see the Lists sheet)." errorStyle="stop" errorTitle="Not in list" operator="between" showDropDown="false" showErrorMessage="true" showInputMessage="false" sqref="C2:C1000" type="list">
      <formula1>Lists!$H$2:$H$3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5" min="4" style="0" width="9"/>
    <col collapsed="false" customWidth="true" hidden="false" outlineLevel="0" max="6" min="6" style="0" width="24"/>
  </cols>
  <sheetData>
    <row r="1" customFormat="false" ht="21.75" hidden="false" customHeight="true" outlineLevel="0" collapsed="false">
      <c r="A1" s="6" t="s">
        <v>132</v>
      </c>
      <c r="B1" s="6" t="s">
        <v>283</v>
      </c>
      <c r="C1" s="6" t="s">
        <v>289</v>
      </c>
      <c r="D1" s="6" t="s">
        <v>294</v>
      </c>
      <c r="E1" s="6" t="s">
        <v>298</v>
      </c>
      <c r="F1" s="6" t="s">
        <v>303</v>
      </c>
    </row>
    <row r="2" customFormat="false" ht="15" hidden="false" customHeight="false" outlineLevel="0" collapsed="false">
      <c r="A2" s="36" t="n">
        <v>1</v>
      </c>
      <c r="B2" s="36" t="s">
        <v>636</v>
      </c>
      <c r="C2" s="37" t="s">
        <v>71</v>
      </c>
      <c r="D2" s="37" t="s">
        <v>637</v>
      </c>
      <c r="E2" s="37" t="s">
        <v>638</v>
      </c>
      <c r="F2" s="36" t="s">
        <v>177</v>
      </c>
    </row>
    <row r="3" customFormat="false" ht="15" hidden="false" customHeight="false" outlineLevel="0" collapsed="false">
      <c r="A3" s="38" t="n">
        <v>2</v>
      </c>
      <c r="B3" s="38" t="s">
        <v>639</v>
      </c>
      <c r="C3" s="39" t="s">
        <v>71</v>
      </c>
      <c r="D3" s="39" t="s">
        <v>638</v>
      </c>
      <c r="E3" s="39" t="s">
        <v>640</v>
      </c>
      <c r="F3" s="38" t="s">
        <v>522</v>
      </c>
    </row>
    <row r="4" customFormat="false" ht="15" hidden="false" customHeight="false" outlineLevel="0" collapsed="false">
      <c r="A4" s="36" t="n">
        <v>3</v>
      </c>
      <c r="B4" s="36" t="s">
        <v>287</v>
      </c>
      <c r="C4" s="37" t="s">
        <v>71</v>
      </c>
      <c r="D4" s="37" t="s">
        <v>297</v>
      </c>
      <c r="E4" s="37" t="s">
        <v>301</v>
      </c>
      <c r="F4" s="36" t="s">
        <v>177</v>
      </c>
    </row>
    <row r="5" customFormat="false" ht="15" hidden="false" customHeight="false" outlineLevel="0" collapsed="false">
      <c r="A5" s="38" t="n">
        <v>4</v>
      </c>
      <c r="B5" s="38" t="s">
        <v>287</v>
      </c>
      <c r="C5" s="39" t="s">
        <v>71</v>
      </c>
      <c r="D5" s="39" t="s">
        <v>301</v>
      </c>
      <c r="E5" s="39" t="s">
        <v>641</v>
      </c>
      <c r="F5" s="38" t="s">
        <v>514</v>
      </c>
    </row>
    <row r="6" customFormat="false" ht="15" hidden="false" customHeight="false" outlineLevel="0" collapsed="false">
      <c r="A6" s="36" t="n">
        <v>5</v>
      </c>
      <c r="B6" s="36" t="s">
        <v>636</v>
      </c>
      <c r="C6" s="37" t="s">
        <v>642</v>
      </c>
      <c r="D6" s="37" t="s">
        <v>637</v>
      </c>
      <c r="E6" s="37" t="s">
        <v>638</v>
      </c>
      <c r="F6" s="36" t="s">
        <v>320</v>
      </c>
    </row>
    <row r="7" customFormat="false" ht="15" hidden="false" customHeight="false" outlineLevel="0" collapsed="false">
      <c r="C7" s="40"/>
      <c r="D7" s="40"/>
      <c r="E7" s="40"/>
    </row>
    <row r="8" customFormat="false" ht="15" hidden="false" customHeight="false" outlineLevel="0" collapsed="false">
      <c r="C8" s="40"/>
      <c r="D8" s="40"/>
      <c r="E8" s="40"/>
    </row>
    <row r="9" customFormat="false" ht="15" hidden="false" customHeight="false" outlineLevel="0" collapsed="false">
      <c r="C9" s="40"/>
      <c r="D9" s="40"/>
      <c r="E9" s="40"/>
    </row>
    <row r="10" customFormat="false" ht="15" hidden="false" customHeight="false" outlineLevel="0" collapsed="false">
      <c r="C10" s="40"/>
      <c r="D10" s="40"/>
      <c r="E10" s="40"/>
    </row>
    <row r="11" customFormat="false" ht="15" hidden="false" customHeight="false" outlineLevel="0" collapsed="false">
      <c r="C11" s="40"/>
      <c r="D11" s="40"/>
      <c r="E11" s="40"/>
    </row>
    <row r="12" customFormat="false" ht="15" hidden="false" customHeight="false" outlineLevel="0" collapsed="false">
      <c r="C12" s="40"/>
      <c r="D12" s="40"/>
      <c r="E12" s="40"/>
    </row>
    <row r="13" customFormat="false" ht="15" hidden="false" customHeight="false" outlineLevel="0" collapsed="false">
      <c r="C13" s="40"/>
      <c r="D13" s="40"/>
      <c r="E13" s="40"/>
    </row>
    <row r="14" customFormat="false" ht="15" hidden="false" customHeight="false" outlineLevel="0" collapsed="false">
      <c r="C14" s="40"/>
      <c r="D14" s="40"/>
      <c r="E14" s="40"/>
    </row>
    <row r="15" customFormat="false" ht="15" hidden="false" customHeight="false" outlineLevel="0" collapsed="false">
      <c r="C15" s="40"/>
      <c r="D15" s="40"/>
      <c r="E15" s="40"/>
    </row>
    <row r="16" customFormat="false" ht="15" hidden="false" customHeight="false" outlineLevel="0" collapsed="false">
      <c r="C16" s="40"/>
      <c r="D16" s="40"/>
      <c r="E16" s="40"/>
    </row>
    <row r="17" customFormat="false" ht="15" hidden="false" customHeight="false" outlineLevel="0" collapsed="false">
      <c r="C17" s="40"/>
      <c r="D17" s="40"/>
      <c r="E17" s="40"/>
    </row>
    <row r="18" customFormat="false" ht="15" hidden="false" customHeight="false" outlineLevel="0" collapsed="false">
      <c r="C18" s="40"/>
      <c r="D18" s="40"/>
      <c r="E18" s="40"/>
    </row>
    <row r="19" customFormat="false" ht="15" hidden="false" customHeight="false" outlineLevel="0" collapsed="false">
      <c r="C19" s="40"/>
      <c r="D19" s="40"/>
      <c r="E19" s="40"/>
    </row>
    <row r="20" customFormat="false" ht="15" hidden="false" customHeight="false" outlineLevel="0" collapsed="false">
      <c r="C20" s="40"/>
      <c r="D20" s="40"/>
      <c r="E20" s="40"/>
    </row>
    <row r="21" customFormat="false" ht="15" hidden="false" customHeight="false" outlineLevel="0" collapsed="false">
      <c r="C21" s="40"/>
      <c r="D21" s="40"/>
      <c r="E21" s="40"/>
    </row>
    <row r="22" customFormat="false" ht="15" hidden="false" customHeight="false" outlineLevel="0" collapsed="false">
      <c r="C22" s="40"/>
      <c r="D22" s="40"/>
      <c r="E22" s="40"/>
    </row>
    <row r="23" customFormat="false" ht="15" hidden="false" customHeight="false" outlineLevel="0" collapsed="false">
      <c r="C23" s="40"/>
      <c r="D23" s="40"/>
      <c r="E23" s="40"/>
    </row>
    <row r="24" customFormat="false" ht="15" hidden="false" customHeight="false" outlineLevel="0" collapsed="false">
      <c r="C24" s="40"/>
      <c r="D24" s="40"/>
      <c r="E24" s="40"/>
    </row>
    <row r="25" customFormat="false" ht="15" hidden="false" customHeight="false" outlineLevel="0" collapsed="false">
      <c r="C25" s="40"/>
      <c r="D25" s="40"/>
      <c r="E25" s="40"/>
    </row>
    <row r="26" customFormat="false" ht="15" hidden="false" customHeight="false" outlineLevel="0" collapsed="false">
      <c r="C26" s="40"/>
      <c r="D26" s="40"/>
      <c r="E26" s="40"/>
    </row>
    <row r="27" customFormat="false" ht="15" hidden="false" customHeight="false" outlineLevel="0" collapsed="false">
      <c r="C27" s="40"/>
      <c r="D27" s="40"/>
      <c r="E27" s="40"/>
    </row>
    <row r="28" customFormat="false" ht="15" hidden="false" customHeight="false" outlineLevel="0" collapsed="false">
      <c r="C28" s="40"/>
      <c r="D28" s="40"/>
      <c r="E28" s="40"/>
    </row>
    <row r="29" customFormat="false" ht="15" hidden="false" customHeight="false" outlineLevel="0" collapsed="false">
      <c r="C29" s="40"/>
      <c r="D29" s="40"/>
      <c r="E29" s="40"/>
    </row>
    <row r="30" customFormat="false" ht="15" hidden="false" customHeight="false" outlineLevel="0" collapsed="false">
      <c r="C30" s="40"/>
      <c r="D30" s="40"/>
      <c r="E30" s="40"/>
    </row>
    <row r="31" customFormat="false" ht="15" hidden="false" customHeight="false" outlineLevel="0" collapsed="false">
      <c r="C31" s="40"/>
      <c r="D31" s="40"/>
      <c r="E31" s="40"/>
    </row>
    <row r="32" customFormat="false" ht="15" hidden="false" customHeight="false" outlineLevel="0" collapsed="false">
      <c r="C32" s="40"/>
      <c r="D32" s="40"/>
      <c r="E32" s="40"/>
    </row>
    <row r="33" customFormat="false" ht="15" hidden="false" customHeight="false" outlineLevel="0" collapsed="false">
      <c r="C33" s="40"/>
      <c r="D33" s="40"/>
      <c r="E33" s="40"/>
    </row>
    <row r="34" customFormat="false" ht="15" hidden="false" customHeight="false" outlineLevel="0" collapsed="false">
      <c r="C34" s="40"/>
      <c r="D34" s="40"/>
      <c r="E34" s="40"/>
    </row>
    <row r="35" customFormat="false" ht="15" hidden="false" customHeight="false" outlineLevel="0" collapsed="false">
      <c r="C35" s="40"/>
      <c r="D35" s="40"/>
      <c r="E35" s="40"/>
    </row>
    <row r="36" customFormat="false" ht="15" hidden="false" customHeight="false" outlineLevel="0" collapsed="false">
      <c r="C36" s="40"/>
      <c r="D36" s="40"/>
      <c r="E36" s="40"/>
    </row>
    <row r="37" customFormat="false" ht="15" hidden="false" customHeight="false" outlineLevel="0" collapsed="false">
      <c r="C37" s="40"/>
      <c r="D37" s="40"/>
      <c r="E37" s="40"/>
    </row>
    <row r="38" customFormat="false" ht="15" hidden="false" customHeight="false" outlineLevel="0" collapsed="false">
      <c r="C38" s="40"/>
      <c r="D38" s="40"/>
      <c r="E38" s="40"/>
    </row>
    <row r="39" customFormat="false" ht="15" hidden="false" customHeight="false" outlineLevel="0" collapsed="false">
      <c r="C39" s="40"/>
      <c r="D39" s="40"/>
      <c r="E39" s="40"/>
    </row>
    <row r="40" customFormat="false" ht="15" hidden="false" customHeight="false" outlineLevel="0" collapsed="false">
      <c r="C40" s="40"/>
      <c r="D40" s="40"/>
      <c r="E40" s="40"/>
    </row>
    <row r="41" customFormat="false" ht="15" hidden="false" customHeight="false" outlineLevel="0" collapsed="false">
      <c r="C41" s="40"/>
      <c r="D41" s="40"/>
      <c r="E41" s="40"/>
    </row>
    <row r="42" customFormat="false" ht="15" hidden="false" customHeight="false" outlineLevel="0" collapsed="false">
      <c r="C42" s="40"/>
      <c r="D42" s="40"/>
      <c r="E42" s="40"/>
    </row>
    <row r="43" customFormat="false" ht="15" hidden="false" customHeight="false" outlineLevel="0" collapsed="false">
      <c r="C43" s="40"/>
      <c r="D43" s="40"/>
      <c r="E43" s="40"/>
    </row>
    <row r="44" customFormat="false" ht="15" hidden="false" customHeight="false" outlineLevel="0" collapsed="false">
      <c r="C44" s="40"/>
      <c r="D44" s="40"/>
      <c r="E44" s="40"/>
    </row>
    <row r="45" customFormat="false" ht="15" hidden="false" customHeight="false" outlineLevel="0" collapsed="false">
      <c r="C45" s="40"/>
      <c r="D45" s="40"/>
      <c r="E45" s="40"/>
    </row>
    <row r="46" customFormat="false" ht="15" hidden="false" customHeight="false" outlineLevel="0" collapsed="false">
      <c r="C46" s="40"/>
      <c r="D46" s="40"/>
      <c r="E46" s="40"/>
    </row>
    <row r="47" customFormat="false" ht="15" hidden="false" customHeight="false" outlineLevel="0" collapsed="false">
      <c r="C47" s="40"/>
      <c r="D47" s="40"/>
      <c r="E47" s="40"/>
    </row>
    <row r="48" customFormat="false" ht="15" hidden="false" customHeight="false" outlineLevel="0" collapsed="false">
      <c r="C48" s="40"/>
      <c r="D48" s="40"/>
      <c r="E48" s="40"/>
    </row>
    <row r="49" customFormat="false" ht="15" hidden="false" customHeight="false" outlineLevel="0" collapsed="false">
      <c r="C49" s="40"/>
      <c r="D49" s="40"/>
      <c r="E49" s="40"/>
    </row>
    <row r="50" customFormat="false" ht="15" hidden="false" customHeight="false" outlineLevel="0" collapsed="false">
      <c r="C50" s="40"/>
      <c r="D50" s="40"/>
      <c r="E50" s="40"/>
    </row>
    <row r="51" customFormat="false" ht="15" hidden="false" customHeight="false" outlineLevel="0" collapsed="false">
      <c r="C51" s="40"/>
      <c r="D51" s="40"/>
      <c r="E51" s="40"/>
    </row>
    <row r="52" customFormat="false" ht="15" hidden="false" customHeight="false" outlineLevel="0" collapsed="false">
      <c r="C52" s="40"/>
      <c r="D52" s="40"/>
      <c r="E52" s="40"/>
    </row>
    <row r="53" customFormat="false" ht="15" hidden="false" customHeight="false" outlineLevel="0" collapsed="false">
      <c r="C53" s="40"/>
      <c r="D53" s="40"/>
      <c r="E53" s="40"/>
    </row>
    <row r="54" customFormat="false" ht="15" hidden="false" customHeight="false" outlineLevel="0" collapsed="false">
      <c r="C54" s="40"/>
      <c r="D54" s="40"/>
      <c r="E54" s="40"/>
    </row>
    <row r="55" customFormat="false" ht="15" hidden="false" customHeight="false" outlineLevel="0" collapsed="false">
      <c r="C55" s="40"/>
      <c r="D55" s="40"/>
      <c r="E55" s="40"/>
    </row>
    <row r="56" customFormat="false" ht="15" hidden="false" customHeight="false" outlineLevel="0" collapsed="false">
      <c r="C56" s="40"/>
      <c r="D56" s="40"/>
      <c r="E56" s="40"/>
    </row>
    <row r="57" customFormat="false" ht="15" hidden="false" customHeight="false" outlineLevel="0" collapsed="false">
      <c r="C57" s="40"/>
      <c r="D57" s="40"/>
      <c r="E57" s="40"/>
    </row>
    <row r="58" customFormat="false" ht="15" hidden="false" customHeight="false" outlineLevel="0" collapsed="false">
      <c r="C58" s="40"/>
      <c r="D58" s="40"/>
      <c r="E58" s="40"/>
    </row>
    <row r="59" customFormat="false" ht="15" hidden="false" customHeight="false" outlineLevel="0" collapsed="false">
      <c r="C59" s="40"/>
      <c r="D59" s="40"/>
      <c r="E59" s="40"/>
    </row>
    <row r="60" customFormat="false" ht="15" hidden="false" customHeight="false" outlineLevel="0" collapsed="false">
      <c r="C60" s="40"/>
      <c r="D60" s="40"/>
      <c r="E60" s="40"/>
    </row>
    <row r="61" customFormat="false" ht="15" hidden="false" customHeight="false" outlineLevel="0" collapsed="false">
      <c r="C61" s="40"/>
      <c r="D61" s="40"/>
      <c r="E61" s="40"/>
    </row>
    <row r="62" customFormat="false" ht="15" hidden="false" customHeight="false" outlineLevel="0" collapsed="false">
      <c r="C62" s="40"/>
      <c r="D62" s="40"/>
      <c r="E62" s="40"/>
    </row>
    <row r="63" customFormat="false" ht="15" hidden="false" customHeight="false" outlineLevel="0" collapsed="false">
      <c r="C63" s="40"/>
      <c r="D63" s="40"/>
      <c r="E63" s="40"/>
    </row>
    <row r="64" customFormat="false" ht="15" hidden="false" customHeight="false" outlineLevel="0" collapsed="false">
      <c r="C64" s="40"/>
      <c r="D64" s="40"/>
      <c r="E64" s="40"/>
    </row>
    <row r="65" customFormat="false" ht="15" hidden="false" customHeight="false" outlineLevel="0" collapsed="false">
      <c r="C65" s="40"/>
      <c r="D65" s="40"/>
      <c r="E65" s="40"/>
    </row>
    <row r="66" customFormat="false" ht="15" hidden="false" customHeight="false" outlineLevel="0" collapsed="false">
      <c r="C66" s="40"/>
      <c r="D66" s="40"/>
      <c r="E66" s="40"/>
    </row>
    <row r="67" customFormat="false" ht="15" hidden="false" customHeight="false" outlineLevel="0" collapsed="false">
      <c r="C67" s="40"/>
      <c r="D67" s="40"/>
      <c r="E67" s="40"/>
    </row>
    <row r="68" customFormat="false" ht="15" hidden="false" customHeight="false" outlineLevel="0" collapsed="false">
      <c r="C68" s="40"/>
      <c r="D68" s="40"/>
      <c r="E68" s="40"/>
    </row>
    <row r="69" customFormat="false" ht="15" hidden="false" customHeight="false" outlineLevel="0" collapsed="false">
      <c r="C69" s="40"/>
      <c r="D69" s="40"/>
      <c r="E69" s="40"/>
    </row>
    <row r="70" customFormat="false" ht="15" hidden="false" customHeight="false" outlineLevel="0" collapsed="false">
      <c r="C70" s="40"/>
      <c r="D70" s="40"/>
      <c r="E70" s="40"/>
    </row>
    <row r="71" customFormat="false" ht="15" hidden="false" customHeight="false" outlineLevel="0" collapsed="false">
      <c r="C71" s="40"/>
      <c r="D71" s="40"/>
      <c r="E71" s="40"/>
    </row>
    <row r="72" customFormat="false" ht="15" hidden="false" customHeight="false" outlineLevel="0" collapsed="false">
      <c r="C72" s="40"/>
      <c r="D72" s="40"/>
      <c r="E72" s="40"/>
    </row>
    <row r="73" customFormat="false" ht="15" hidden="false" customHeight="false" outlineLevel="0" collapsed="false">
      <c r="C73" s="40"/>
      <c r="D73" s="40"/>
      <c r="E73" s="40"/>
    </row>
    <row r="74" customFormat="false" ht="15" hidden="false" customHeight="false" outlineLevel="0" collapsed="false">
      <c r="C74" s="40"/>
      <c r="D74" s="40"/>
      <c r="E74" s="40"/>
    </row>
    <row r="75" customFormat="false" ht="15" hidden="false" customHeight="false" outlineLevel="0" collapsed="false">
      <c r="C75" s="40"/>
      <c r="D75" s="40"/>
      <c r="E75" s="40"/>
    </row>
    <row r="76" customFormat="false" ht="15" hidden="false" customHeight="false" outlineLevel="0" collapsed="false">
      <c r="C76" s="40"/>
      <c r="D76" s="40"/>
      <c r="E76" s="40"/>
    </row>
    <row r="77" customFormat="false" ht="15" hidden="false" customHeight="false" outlineLevel="0" collapsed="false">
      <c r="C77" s="40"/>
      <c r="D77" s="40"/>
      <c r="E77" s="40"/>
    </row>
    <row r="78" customFormat="false" ht="15" hidden="false" customHeight="false" outlineLevel="0" collapsed="false">
      <c r="C78" s="40"/>
      <c r="D78" s="40"/>
      <c r="E78" s="40"/>
    </row>
    <row r="79" customFormat="false" ht="15" hidden="false" customHeight="false" outlineLevel="0" collapsed="false">
      <c r="C79" s="40"/>
      <c r="D79" s="40"/>
      <c r="E79" s="40"/>
    </row>
    <row r="80" customFormat="false" ht="15" hidden="false" customHeight="false" outlineLevel="0" collapsed="false">
      <c r="C80" s="40"/>
      <c r="D80" s="40"/>
      <c r="E80" s="40"/>
    </row>
    <row r="81" customFormat="false" ht="15" hidden="false" customHeight="false" outlineLevel="0" collapsed="false">
      <c r="C81" s="40"/>
      <c r="D81" s="40"/>
      <c r="E81" s="40"/>
    </row>
    <row r="82" customFormat="false" ht="15" hidden="false" customHeight="false" outlineLevel="0" collapsed="false">
      <c r="C82" s="40"/>
      <c r="D82" s="40"/>
      <c r="E82" s="40"/>
    </row>
    <row r="83" customFormat="false" ht="15" hidden="false" customHeight="false" outlineLevel="0" collapsed="false">
      <c r="C83" s="40"/>
      <c r="D83" s="40"/>
      <c r="E83" s="40"/>
    </row>
    <row r="84" customFormat="false" ht="15" hidden="false" customHeight="false" outlineLevel="0" collapsed="false">
      <c r="C84" s="40"/>
      <c r="D84" s="40"/>
      <c r="E84" s="40"/>
    </row>
    <row r="85" customFormat="false" ht="15" hidden="false" customHeight="false" outlineLevel="0" collapsed="false">
      <c r="C85" s="40"/>
      <c r="D85" s="40"/>
      <c r="E85" s="40"/>
    </row>
    <row r="86" customFormat="false" ht="15" hidden="false" customHeight="false" outlineLevel="0" collapsed="false">
      <c r="C86" s="40"/>
      <c r="D86" s="40"/>
      <c r="E86" s="40"/>
    </row>
    <row r="87" customFormat="false" ht="15" hidden="false" customHeight="false" outlineLevel="0" collapsed="false">
      <c r="C87" s="40"/>
      <c r="D87" s="40"/>
      <c r="E87" s="40"/>
    </row>
    <row r="88" customFormat="false" ht="15" hidden="false" customHeight="false" outlineLevel="0" collapsed="false">
      <c r="C88" s="40"/>
      <c r="D88" s="40"/>
      <c r="E88" s="40"/>
    </row>
    <row r="89" customFormat="false" ht="15" hidden="false" customHeight="false" outlineLevel="0" collapsed="false">
      <c r="C89" s="40"/>
      <c r="D89" s="40"/>
      <c r="E89" s="40"/>
    </row>
    <row r="90" customFormat="false" ht="15" hidden="false" customHeight="false" outlineLevel="0" collapsed="false">
      <c r="C90" s="40"/>
      <c r="D90" s="40"/>
      <c r="E90" s="40"/>
    </row>
    <row r="91" customFormat="false" ht="15" hidden="false" customHeight="false" outlineLevel="0" collapsed="false">
      <c r="C91" s="40"/>
      <c r="D91" s="40"/>
      <c r="E91" s="40"/>
    </row>
    <row r="92" customFormat="false" ht="15" hidden="false" customHeight="false" outlineLevel="0" collapsed="false">
      <c r="C92" s="40"/>
      <c r="D92" s="40"/>
      <c r="E92" s="40"/>
    </row>
    <row r="93" customFormat="false" ht="15" hidden="false" customHeight="false" outlineLevel="0" collapsed="false">
      <c r="C93" s="40"/>
      <c r="D93" s="40"/>
      <c r="E93" s="40"/>
    </row>
    <row r="94" customFormat="false" ht="15" hidden="false" customHeight="false" outlineLevel="0" collapsed="false">
      <c r="C94" s="40"/>
      <c r="D94" s="40"/>
      <c r="E94" s="40"/>
    </row>
    <row r="95" customFormat="false" ht="15" hidden="false" customHeight="false" outlineLevel="0" collapsed="false">
      <c r="C95" s="40"/>
      <c r="D95" s="40"/>
      <c r="E95" s="40"/>
    </row>
    <row r="96" customFormat="false" ht="15" hidden="false" customHeight="false" outlineLevel="0" collapsed="false">
      <c r="C96" s="40"/>
      <c r="D96" s="40"/>
      <c r="E96" s="40"/>
    </row>
    <row r="97" customFormat="false" ht="15" hidden="false" customHeight="false" outlineLevel="0" collapsed="false">
      <c r="C97" s="40"/>
      <c r="D97" s="40"/>
      <c r="E97" s="40"/>
    </row>
    <row r="98" customFormat="false" ht="15" hidden="false" customHeight="false" outlineLevel="0" collapsed="false">
      <c r="C98" s="40"/>
      <c r="D98" s="40"/>
      <c r="E98" s="40"/>
    </row>
    <row r="99" customFormat="false" ht="15" hidden="false" customHeight="false" outlineLevel="0" collapsed="false">
      <c r="C99" s="40"/>
      <c r="D99" s="40"/>
      <c r="E99" s="40"/>
    </row>
    <row r="100" customFormat="false" ht="15" hidden="false" customHeight="false" outlineLevel="0" collapsed="false">
      <c r="C100" s="40"/>
      <c r="D100" s="40"/>
      <c r="E100" s="40"/>
    </row>
    <row r="101" customFormat="false" ht="15" hidden="false" customHeight="false" outlineLevel="0" collapsed="false">
      <c r="C101" s="40"/>
      <c r="D101" s="40"/>
      <c r="E101" s="40"/>
    </row>
    <row r="102" customFormat="false" ht="15" hidden="false" customHeight="false" outlineLevel="0" collapsed="false">
      <c r="C102" s="40"/>
      <c r="D102" s="40"/>
      <c r="E102" s="40"/>
    </row>
    <row r="103" customFormat="false" ht="15" hidden="false" customHeight="false" outlineLevel="0" collapsed="false">
      <c r="C103" s="40"/>
      <c r="D103" s="40"/>
      <c r="E103" s="40"/>
    </row>
    <row r="104" customFormat="false" ht="15" hidden="false" customHeight="false" outlineLevel="0" collapsed="false">
      <c r="C104" s="40"/>
      <c r="D104" s="40"/>
      <c r="E104" s="40"/>
    </row>
    <row r="105" customFormat="false" ht="15" hidden="false" customHeight="false" outlineLevel="0" collapsed="false">
      <c r="C105" s="40"/>
      <c r="D105" s="40"/>
      <c r="E105" s="40"/>
    </row>
    <row r="106" customFormat="false" ht="15" hidden="false" customHeight="false" outlineLevel="0" collapsed="false">
      <c r="C106" s="40"/>
      <c r="D106" s="40"/>
      <c r="E106" s="40"/>
    </row>
    <row r="107" customFormat="false" ht="15" hidden="false" customHeight="false" outlineLevel="0" collapsed="false">
      <c r="C107" s="40"/>
      <c r="D107" s="40"/>
      <c r="E107" s="40"/>
    </row>
    <row r="108" customFormat="false" ht="15" hidden="false" customHeight="false" outlineLevel="0" collapsed="false">
      <c r="C108" s="40"/>
      <c r="D108" s="40"/>
      <c r="E108" s="40"/>
    </row>
    <row r="109" customFormat="false" ht="15" hidden="false" customHeight="false" outlineLevel="0" collapsed="false">
      <c r="C109" s="40"/>
      <c r="D109" s="40"/>
      <c r="E109" s="40"/>
    </row>
    <row r="110" customFormat="false" ht="15" hidden="false" customHeight="false" outlineLevel="0" collapsed="false">
      <c r="C110" s="40"/>
      <c r="D110" s="40"/>
      <c r="E110" s="40"/>
    </row>
    <row r="111" customFormat="false" ht="15" hidden="false" customHeight="false" outlineLevel="0" collapsed="false">
      <c r="C111" s="40"/>
      <c r="D111" s="40"/>
      <c r="E111" s="40"/>
    </row>
    <row r="112" customFormat="false" ht="15" hidden="false" customHeight="false" outlineLevel="0" collapsed="false">
      <c r="C112" s="40"/>
      <c r="D112" s="40"/>
      <c r="E112" s="40"/>
    </row>
    <row r="113" customFormat="false" ht="15" hidden="false" customHeight="false" outlineLevel="0" collapsed="false">
      <c r="C113" s="40"/>
      <c r="D113" s="40"/>
      <c r="E113" s="40"/>
    </row>
    <row r="114" customFormat="false" ht="15" hidden="false" customHeight="false" outlineLevel="0" collapsed="false">
      <c r="C114" s="40"/>
      <c r="D114" s="40"/>
      <c r="E114" s="40"/>
    </row>
    <row r="115" customFormat="false" ht="15" hidden="false" customHeight="false" outlineLevel="0" collapsed="false">
      <c r="C115" s="40"/>
      <c r="D115" s="40"/>
      <c r="E115" s="40"/>
    </row>
    <row r="116" customFormat="false" ht="15" hidden="false" customHeight="false" outlineLevel="0" collapsed="false">
      <c r="C116" s="40"/>
      <c r="D116" s="40"/>
      <c r="E116" s="40"/>
    </row>
    <row r="117" customFormat="false" ht="15" hidden="false" customHeight="false" outlineLevel="0" collapsed="false">
      <c r="C117" s="40"/>
      <c r="D117" s="40"/>
      <c r="E117" s="40"/>
    </row>
    <row r="118" customFormat="false" ht="15" hidden="false" customHeight="false" outlineLevel="0" collapsed="false">
      <c r="C118" s="40"/>
      <c r="D118" s="40"/>
      <c r="E118" s="40"/>
    </row>
    <row r="119" customFormat="false" ht="15" hidden="false" customHeight="false" outlineLevel="0" collapsed="false">
      <c r="C119" s="40"/>
      <c r="D119" s="40"/>
      <c r="E119" s="40"/>
    </row>
    <row r="120" customFormat="false" ht="15" hidden="false" customHeight="false" outlineLevel="0" collapsed="false">
      <c r="C120" s="40"/>
      <c r="D120" s="40"/>
      <c r="E120" s="40"/>
    </row>
    <row r="121" customFormat="false" ht="15" hidden="false" customHeight="false" outlineLevel="0" collapsed="false">
      <c r="C121" s="40"/>
      <c r="D121" s="40"/>
      <c r="E121" s="40"/>
    </row>
    <row r="122" customFormat="false" ht="15" hidden="false" customHeight="false" outlineLevel="0" collapsed="false">
      <c r="C122" s="40"/>
      <c r="D122" s="40"/>
      <c r="E122" s="40"/>
    </row>
    <row r="123" customFormat="false" ht="15" hidden="false" customHeight="false" outlineLevel="0" collapsed="false">
      <c r="C123" s="40"/>
      <c r="D123" s="40"/>
      <c r="E123" s="40"/>
    </row>
    <row r="124" customFormat="false" ht="15" hidden="false" customHeight="false" outlineLevel="0" collapsed="false">
      <c r="C124" s="40"/>
      <c r="D124" s="40"/>
      <c r="E124" s="40"/>
    </row>
    <row r="125" customFormat="false" ht="15" hidden="false" customHeight="false" outlineLevel="0" collapsed="false">
      <c r="C125" s="40"/>
      <c r="D125" s="40"/>
      <c r="E125" s="40"/>
    </row>
    <row r="126" customFormat="false" ht="15" hidden="false" customHeight="false" outlineLevel="0" collapsed="false">
      <c r="C126" s="40"/>
      <c r="D126" s="40"/>
      <c r="E126" s="40"/>
    </row>
    <row r="127" customFormat="false" ht="15" hidden="false" customHeight="false" outlineLevel="0" collapsed="false">
      <c r="C127" s="40"/>
      <c r="D127" s="40"/>
      <c r="E127" s="40"/>
    </row>
    <row r="128" customFormat="false" ht="15" hidden="false" customHeight="false" outlineLevel="0" collapsed="false">
      <c r="C128" s="40"/>
      <c r="D128" s="40"/>
      <c r="E128" s="40"/>
    </row>
    <row r="129" customFormat="false" ht="15" hidden="false" customHeight="false" outlineLevel="0" collapsed="false">
      <c r="C129" s="40"/>
      <c r="D129" s="40"/>
      <c r="E129" s="40"/>
    </row>
    <row r="130" customFormat="false" ht="15" hidden="false" customHeight="false" outlineLevel="0" collapsed="false">
      <c r="C130" s="40"/>
      <c r="D130" s="40"/>
      <c r="E130" s="40"/>
    </row>
    <row r="131" customFormat="false" ht="15" hidden="false" customHeight="false" outlineLevel="0" collapsed="false">
      <c r="C131" s="40"/>
      <c r="D131" s="40"/>
      <c r="E131" s="40"/>
    </row>
    <row r="132" customFormat="false" ht="15" hidden="false" customHeight="false" outlineLevel="0" collapsed="false">
      <c r="C132" s="40"/>
      <c r="D132" s="40"/>
      <c r="E132" s="40"/>
    </row>
    <row r="133" customFormat="false" ht="15" hidden="false" customHeight="false" outlineLevel="0" collapsed="false">
      <c r="C133" s="40"/>
      <c r="D133" s="40"/>
      <c r="E133" s="40"/>
    </row>
    <row r="134" customFormat="false" ht="15" hidden="false" customHeight="false" outlineLevel="0" collapsed="false">
      <c r="C134" s="40"/>
      <c r="D134" s="40"/>
      <c r="E134" s="40"/>
    </row>
    <row r="135" customFormat="false" ht="15" hidden="false" customHeight="false" outlineLevel="0" collapsed="false">
      <c r="C135" s="40"/>
      <c r="D135" s="40"/>
      <c r="E135" s="40"/>
    </row>
    <row r="136" customFormat="false" ht="15" hidden="false" customHeight="false" outlineLevel="0" collapsed="false">
      <c r="C136" s="40"/>
      <c r="D136" s="40"/>
      <c r="E136" s="40"/>
    </row>
    <row r="137" customFormat="false" ht="15" hidden="false" customHeight="false" outlineLevel="0" collapsed="false">
      <c r="C137" s="40"/>
      <c r="D137" s="40"/>
      <c r="E137" s="40"/>
    </row>
    <row r="138" customFormat="false" ht="15" hidden="false" customHeight="false" outlineLevel="0" collapsed="false">
      <c r="C138" s="40"/>
      <c r="D138" s="40"/>
      <c r="E138" s="40"/>
    </row>
    <row r="139" customFormat="false" ht="15" hidden="false" customHeight="false" outlineLevel="0" collapsed="false">
      <c r="C139" s="40"/>
      <c r="D139" s="40"/>
      <c r="E139" s="40"/>
    </row>
    <row r="140" customFormat="false" ht="15" hidden="false" customHeight="false" outlineLevel="0" collapsed="false">
      <c r="C140" s="40"/>
      <c r="D140" s="40"/>
      <c r="E140" s="40"/>
    </row>
    <row r="141" customFormat="false" ht="15" hidden="false" customHeight="false" outlineLevel="0" collapsed="false">
      <c r="C141" s="40"/>
      <c r="D141" s="40"/>
      <c r="E141" s="40"/>
    </row>
    <row r="142" customFormat="false" ht="15" hidden="false" customHeight="false" outlineLevel="0" collapsed="false">
      <c r="C142" s="40"/>
      <c r="D142" s="40"/>
      <c r="E142" s="40"/>
    </row>
    <row r="143" customFormat="false" ht="15" hidden="false" customHeight="false" outlineLevel="0" collapsed="false">
      <c r="C143" s="40"/>
      <c r="D143" s="40"/>
      <c r="E143" s="40"/>
    </row>
    <row r="144" customFormat="false" ht="15" hidden="false" customHeight="false" outlineLevel="0" collapsed="false">
      <c r="C144" s="40"/>
      <c r="D144" s="40"/>
      <c r="E144" s="40"/>
    </row>
    <row r="145" customFormat="false" ht="15" hidden="false" customHeight="false" outlineLevel="0" collapsed="false">
      <c r="C145" s="40"/>
      <c r="D145" s="40"/>
      <c r="E145" s="40"/>
    </row>
    <row r="146" customFormat="false" ht="15" hidden="false" customHeight="false" outlineLevel="0" collapsed="false">
      <c r="C146" s="40"/>
      <c r="D146" s="40"/>
      <c r="E146" s="40"/>
    </row>
    <row r="147" customFormat="false" ht="15" hidden="false" customHeight="false" outlineLevel="0" collapsed="false">
      <c r="C147" s="40"/>
      <c r="D147" s="40"/>
      <c r="E147" s="40"/>
    </row>
    <row r="148" customFormat="false" ht="15" hidden="false" customHeight="false" outlineLevel="0" collapsed="false">
      <c r="C148" s="40"/>
      <c r="D148" s="40"/>
      <c r="E148" s="40"/>
    </row>
    <row r="149" customFormat="false" ht="15" hidden="false" customHeight="false" outlineLevel="0" collapsed="false">
      <c r="C149" s="40"/>
      <c r="D149" s="40"/>
      <c r="E149" s="40"/>
    </row>
    <row r="150" customFormat="false" ht="15" hidden="false" customHeight="false" outlineLevel="0" collapsed="false">
      <c r="C150" s="40"/>
      <c r="D150" s="40"/>
      <c r="E150" s="40"/>
    </row>
    <row r="151" customFormat="false" ht="15" hidden="false" customHeight="false" outlineLevel="0" collapsed="false">
      <c r="C151" s="40"/>
      <c r="D151" s="40"/>
      <c r="E151" s="40"/>
    </row>
    <row r="152" customFormat="false" ht="15" hidden="false" customHeight="false" outlineLevel="0" collapsed="false">
      <c r="C152" s="40"/>
      <c r="D152" s="40"/>
      <c r="E152" s="40"/>
    </row>
    <row r="153" customFormat="false" ht="15" hidden="false" customHeight="false" outlineLevel="0" collapsed="false">
      <c r="C153" s="40"/>
      <c r="D153" s="40"/>
      <c r="E153" s="40"/>
    </row>
    <row r="154" customFormat="false" ht="15" hidden="false" customHeight="false" outlineLevel="0" collapsed="false">
      <c r="C154" s="40"/>
      <c r="D154" s="40"/>
      <c r="E154" s="40"/>
    </row>
    <row r="155" customFormat="false" ht="15" hidden="false" customHeight="false" outlineLevel="0" collapsed="false">
      <c r="C155" s="40"/>
      <c r="D155" s="40"/>
      <c r="E155" s="40"/>
    </row>
    <row r="156" customFormat="false" ht="15" hidden="false" customHeight="false" outlineLevel="0" collapsed="false">
      <c r="C156" s="40"/>
      <c r="D156" s="40"/>
      <c r="E156" s="40"/>
    </row>
    <row r="157" customFormat="false" ht="15" hidden="false" customHeight="false" outlineLevel="0" collapsed="false">
      <c r="C157" s="40"/>
      <c r="D157" s="40"/>
      <c r="E157" s="40"/>
    </row>
    <row r="158" customFormat="false" ht="15" hidden="false" customHeight="false" outlineLevel="0" collapsed="false">
      <c r="C158" s="40"/>
      <c r="D158" s="40"/>
      <c r="E158" s="40"/>
    </row>
    <row r="159" customFormat="false" ht="15" hidden="false" customHeight="false" outlineLevel="0" collapsed="false">
      <c r="C159" s="40"/>
      <c r="D159" s="40"/>
      <c r="E159" s="40"/>
    </row>
    <row r="160" customFormat="false" ht="15" hidden="false" customHeight="false" outlineLevel="0" collapsed="false">
      <c r="C160" s="40"/>
      <c r="D160" s="40"/>
      <c r="E160" s="40"/>
    </row>
    <row r="161" customFormat="false" ht="15" hidden="false" customHeight="false" outlineLevel="0" collapsed="false">
      <c r="C161" s="40"/>
      <c r="D161" s="40"/>
      <c r="E161" s="40"/>
    </row>
    <row r="162" customFormat="false" ht="15" hidden="false" customHeight="false" outlineLevel="0" collapsed="false">
      <c r="C162" s="40"/>
      <c r="D162" s="40"/>
      <c r="E162" s="40"/>
    </row>
    <row r="163" customFormat="false" ht="15" hidden="false" customHeight="false" outlineLevel="0" collapsed="false">
      <c r="C163" s="40"/>
      <c r="D163" s="40"/>
      <c r="E163" s="40"/>
    </row>
    <row r="164" customFormat="false" ht="15" hidden="false" customHeight="false" outlineLevel="0" collapsed="false">
      <c r="C164" s="40"/>
      <c r="D164" s="40"/>
      <c r="E164" s="40"/>
    </row>
    <row r="165" customFormat="false" ht="15" hidden="false" customHeight="false" outlineLevel="0" collapsed="false">
      <c r="C165" s="40"/>
      <c r="D165" s="40"/>
      <c r="E165" s="40"/>
    </row>
    <row r="166" customFormat="false" ht="15" hidden="false" customHeight="false" outlineLevel="0" collapsed="false">
      <c r="C166" s="40"/>
      <c r="D166" s="40"/>
      <c r="E166" s="40"/>
    </row>
    <row r="167" customFormat="false" ht="15" hidden="false" customHeight="false" outlineLevel="0" collapsed="false">
      <c r="C167" s="40"/>
      <c r="D167" s="40"/>
      <c r="E167" s="40"/>
    </row>
    <row r="168" customFormat="false" ht="15" hidden="false" customHeight="false" outlineLevel="0" collapsed="false">
      <c r="C168" s="40"/>
      <c r="D168" s="40"/>
      <c r="E168" s="40"/>
    </row>
    <row r="169" customFormat="false" ht="15" hidden="false" customHeight="false" outlineLevel="0" collapsed="false">
      <c r="C169" s="40"/>
      <c r="D169" s="40"/>
      <c r="E169" s="40"/>
    </row>
    <row r="170" customFormat="false" ht="15" hidden="false" customHeight="false" outlineLevel="0" collapsed="false">
      <c r="C170" s="40"/>
      <c r="D170" s="40"/>
      <c r="E170" s="40"/>
    </row>
    <row r="171" customFormat="false" ht="15" hidden="false" customHeight="false" outlineLevel="0" collapsed="false">
      <c r="C171" s="40"/>
      <c r="D171" s="40"/>
      <c r="E171" s="40"/>
    </row>
    <row r="172" customFormat="false" ht="15" hidden="false" customHeight="false" outlineLevel="0" collapsed="false">
      <c r="C172" s="40"/>
      <c r="D172" s="40"/>
      <c r="E172" s="40"/>
    </row>
    <row r="173" customFormat="false" ht="15" hidden="false" customHeight="false" outlineLevel="0" collapsed="false">
      <c r="C173" s="40"/>
      <c r="D173" s="40"/>
      <c r="E173" s="40"/>
    </row>
    <row r="174" customFormat="false" ht="15" hidden="false" customHeight="false" outlineLevel="0" collapsed="false">
      <c r="C174" s="40"/>
      <c r="D174" s="40"/>
      <c r="E174" s="40"/>
    </row>
    <row r="175" customFormat="false" ht="15" hidden="false" customHeight="false" outlineLevel="0" collapsed="false">
      <c r="C175" s="40"/>
      <c r="D175" s="40"/>
      <c r="E175" s="40"/>
    </row>
    <row r="176" customFormat="false" ht="15" hidden="false" customHeight="false" outlineLevel="0" collapsed="false">
      <c r="C176" s="40"/>
      <c r="D176" s="40"/>
      <c r="E176" s="40"/>
    </row>
    <row r="177" customFormat="false" ht="15" hidden="false" customHeight="false" outlineLevel="0" collapsed="false">
      <c r="C177" s="40"/>
      <c r="D177" s="40"/>
      <c r="E177" s="40"/>
    </row>
    <row r="178" customFormat="false" ht="15" hidden="false" customHeight="false" outlineLevel="0" collapsed="false">
      <c r="C178" s="40"/>
      <c r="D178" s="40"/>
      <c r="E178" s="40"/>
    </row>
    <row r="179" customFormat="false" ht="15" hidden="false" customHeight="false" outlineLevel="0" collapsed="false">
      <c r="C179" s="40"/>
      <c r="D179" s="40"/>
      <c r="E179" s="40"/>
    </row>
    <row r="180" customFormat="false" ht="15" hidden="false" customHeight="false" outlineLevel="0" collapsed="false">
      <c r="C180" s="40"/>
      <c r="D180" s="40"/>
      <c r="E180" s="40"/>
    </row>
    <row r="181" customFormat="false" ht="15" hidden="false" customHeight="false" outlineLevel="0" collapsed="false">
      <c r="C181" s="40"/>
      <c r="D181" s="40"/>
      <c r="E181" s="40"/>
    </row>
    <row r="182" customFormat="false" ht="15" hidden="false" customHeight="false" outlineLevel="0" collapsed="false">
      <c r="C182" s="40"/>
      <c r="D182" s="40"/>
      <c r="E182" s="40"/>
    </row>
    <row r="183" customFormat="false" ht="15" hidden="false" customHeight="false" outlineLevel="0" collapsed="false">
      <c r="C183" s="40"/>
      <c r="D183" s="40"/>
      <c r="E183" s="40"/>
    </row>
    <row r="184" customFormat="false" ht="15" hidden="false" customHeight="false" outlineLevel="0" collapsed="false">
      <c r="C184" s="40"/>
      <c r="D184" s="40"/>
      <c r="E184" s="40"/>
    </row>
    <row r="185" customFormat="false" ht="15" hidden="false" customHeight="false" outlineLevel="0" collapsed="false">
      <c r="C185" s="40"/>
      <c r="D185" s="40"/>
      <c r="E185" s="40"/>
    </row>
    <row r="186" customFormat="false" ht="15" hidden="false" customHeight="false" outlineLevel="0" collapsed="false">
      <c r="C186" s="40"/>
      <c r="D186" s="40"/>
      <c r="E186" s="40"/>
    </row>
    <row r="187" customFormat="false" ht="15" hidden="false" customHeight="false" outlineLevel="0" collapsed="false">
      <c r="C187" s="40"/>
      <c r="D187" s="40"/>
      <c r="E187" s="40"/>
    </row>
    <row r="188" customFormat="false" ht="15" hidden="false" customHeight="false" outlineLevel="0" collapsed="false">
      <c r="C188" s="40"/>
      <c r="D188" s="40"/>
      <c r="E188" s="40"/>
    </row>
    <row r="189" customFormat="false" ht="15" hidden="false" customHeight="false" outlineLevel="0" collapsed="false">
      <c r="C189" s="40"/>
      <c r="D189" s="40"/>
      <c r="E189" s="40"/>
    </row>
    <row r="190" customFormat="false" ht="15" hidden="false" customHeight="false" outlineLevel="0" collapsed="false">
      <c r="C190" s="40"/>
      <c r="D190" s="40"/>
      <c r="E190" s="40"/>
    </row>
    <row r="191" customFormat="false" ht="15" hidden="false" customHeight="false" outlineLevel="0" collapsed="false">
      <c r="C191" s="40"/>
      <c r="D191" s="40"/>
      <c r="E191" s="40"/>
    </row>
    <row r="192" customFormat="false" ht="15" hidden="false" customHeight="false" outlineLevel="0" collapsed="false">
      <c r="C192" s="40"/>
      <c r="D192" s="40"/>
      <c r="E192" s="40"/>
    </row>
    <row r="193" customFormat="false" ht="15" hidden="false" customHeight="false" outlineLevel="0" collapsed="false">
      <c r="C193" s="40"/>
      <c r="D193" s="40"/>
      <c r="E193" s="40"/>
    </row>
    <row r="194" customFormat="false" ht="15" hidden="false" customHeight="false" outlineLevel="0" collapsed="false">
      <c r="C194" s="40"/>
      <c r="D194" s="40"/>
      <c r="E194" s="40"/>
    </row>
    <row r="195" customFormat="false" ht="15" hidden="false" customHeight="false" outlineLevel="0" collapsed="false">
      <c r="C195" s="40"/>
      <c r="D195" s="40"/>
      <c r="E195" s="40"/>
    </row>
    <row r="196" customFormat="false" ht="15" hidden="false" customHeight="false" outlineLevel="0" collapsed="false">
      <c r="C196" s="40"/>
      <c r="D196" s="40"/>
      <c r="E196" s="40"/>
    </row>
    <row r="197" customFormat="false" ht="15" hidden="false" customHeight="false" outlineLevel="0" collapsed="false">
      <c r="C197" s="40"/>
      <c r="D197" s="40"/>
      <c r="E197" s="40"/>
    </row>
    <row r="198" customFormat="false" ht="15" hidden="false" customHeight="false" outlineLevel="0" collapsed="false">
      <c r="C198" s="40"/>
      <c r="D198" s="40"/>
      <c r="E198" s="40"/>
    </row>
    <row r="199" customFormat="false" ht="15" hidden="false" customHeight="false" outlineLevel="0" collapsed="false">
      <c r="C199" s="40"/>
      <c r="D199" s="40"/>
      <c r="E199" s="40"/>
    </row>
    <row r="200" customFormat="false" ht="15" hidden="false" customHeight="false" outlineLevel="0" collapsed="false">
      <c r="C200" s="40"/>
      <c r="D200" s="40"/>
      <c r="E200" s="40"/>
    </row>
    <row r="201" customFormat="false" ht="15" hidden="false" customHeight="false" outlineLevel="0" collapsed="false">
      <c r="C201" s="40"/>
      <c r="D201" s="40"/>
      <c r="E201" s="40"/>
    </row>
    <row r="202" customFormat="false" ht="15" hidden="false" customHeight="false" outlineLevel="0" collapsed="false">
      <c r="C202" s="40"/>
      <c r="D202" s="40"/>
      <c r="E202" s="40"/>
    </row>
    <row r="203" customFormat="false" ht="15" hidden="false" customHeight="false" outlineLevel="0" collapsed="false">
      <c r="C203" s="40"/>
      <c r="D203" s="40"/>
      <c r="E203" s="40"/>
    </row>
    <row r="204" customFormat="false" ht="15" hidden="false" customHeight="false" outlineLevel="0" collapsed="false">
      <c r="C204" s="40"/>
      <c r="D204" s="40"/>
      <c r="E204" s="40"/>
    </row>
    <row r="205" customFormat="false" ht="15" hidden="false" customHeight="false" outlineLevel="0" collapsed="false">
      <c r="C205" s="40"/>
      <c r="D205" s="40"/>
      <c r="E205" s="40"/>
    </row>
    <row r="206" customFormat="false" ht="15" hidden="false" customHeight="false" outlineLevel="0" collapsed="false">
      <c r="C206" s="40"/>
      <c r="D206" s="40"/>
      <c r="E206" s="40"/>
    </row>
    <row r="207" customFormat="false" ht="15" hidden="false" customHeight="false" outlineLevel="0" collapsed="false">
      <c r="C207" s="40"/>
      <c r="D207" s="40"/>
      <c r="E207" s="40"/>
    </row>
    <row r="208" customFormat="false" ht="15" hidden="false" customHeight="false" outlineLevel="0" collapsed="false">
      <c r="C208" s="40"/>
      <c r="D208" s="40"/>
      <c r="E208" s="40"/>
    </row>
    <row r="209" customFormat="false" ht="15" hidden="false" customHeight="false" outlineLevel="0" collapsed="false">
      <c r="C209" s="40"/>
      <c r="D209" s="40"/>
      <c r="E209" s="40"/>
    </row>
    <row r="210" customFormat="false" ht="15" hidden="false" customHeight="false" outlineLevel="0" collapsed="false">
      <c r="C210" s="40"/>
      <c r="D210" s="40"/>
      <c r="E210" s="40"/>
    </row>
    <row r="211" customFormat="false" ht="15" hidden="false" customHeight="false" outlineLevel="0" collapsed="false">
      <c r="C211" s="40"/>
      <c r="D211" s="40"/>
      <c r="E211" s="40"/>
    </row>
    <row r="212" customFormat="false" ht="15" hidden="false" customHeight="false" outlineLevel="0" collapsed="false">
      <c r="C212" s="40"/>
      <c r="D212" s="40"/>
      <c r="E212" s="40"/>
    </row>
    <row r="213" customFormat="false" ht="15" hidden="false" customHeight="false" outlineLevel="0" collapsed="false">
      <c r="C213" s="40"/>
      <c r="D213" s="40"/>
      <c r="E213" s="40"/>
    </row>
    <row r="214" customFormat="false" ht="15" hidden="false" customHeight="false" outlineLevel="0" collapsed="false">
      <c r="C214" s="40"/>
      <c r="D214" s="40"/>
      <c r="E214" s="40"/>
    </row>
    <row r="215" customFormat="false" ht="15" hidden="false" customHeight="false" outlineLevel="0" collapsed="false">
      <c r="C215" s="40"/>
      <c r="D215" s="40"/>
      <c r="E215" s="40"/>
    </row>
    <row r="216" customFormat="false" ht="15" hidden="false" customHeight="false" outlineLevel="0" collapsed="false">
      <c r="C216" s="40"/>
      <c r="D216" s="40"/>
      <c r="E216" s="40"/>
    </row>
    <row r="217" customFormat="false" ht="15" hidden="false" customHeight="false" outlineLevel="0" collapsed="false">
      <c r="C217" s="40"/>
      <c r="D217" s="40"/>
      <c r="E217" s="40"/>
    </row>
    <row r="218" customFormat="false" ht="15" hidden="false" customHeight="false" outlineLevel="0" collapsed="false">
      <c r="C218" s="40"/>
      <c r="D218" s="40"/>
      <c r="E218" s="40"/>
    </row>
    <row r="219" customFormat="false" ht="15" hidden="false" customHeight="false" outlineLevel="0" collapsed="false">
      <c r="C219" s="40"/>
      <c r="D219" s="40"/>
      <c r="E219" s="40"/>
    </row>
    <row r="220" customFormat="false" ht="15" hidden="false" customHeight="false" outlineLevel="0" collapsed="false">
      <c r="C220" s="40"/>
      <c r="D220" s="40"/>
      <c r="E220" s="40"/>
    </row>
    <row r="221" customFormat="false" ht="15" hidden="false" customHeight="false" outlineLevel="0" collapsed="false">
      <c r="C221" s="40"/>
      <c r="D221" s="40"/>
      <c r="E221" s="40"/>
    </row>
    <row r="222" customFormat="false" ht="15" hidden="false" customHeight="false" outlineLevel="0" collapsed="false">
      <c r="C222" s="40"/>
      <c r="D222" s="40"/>
      <c r="E222" s="40"/>
    </row>
    <row r="223" customFormat="false" ht="15" hidden="false" customHeight="false" outlineLevel="0" collapsed="false">
      <c r="C223" s="40"/>
      <c r="D223" s="40"/>
      <c r="E223" s="40"/>
    </row>
    <row r="224" customFormat="false" ht="15" hidden="false" customHeight="false" outlineLevel="0" collapsed="false">
      <c r="C224" s="40"/>
      <c r="D224" s="40"/>
      <c r="E224" s="40"/>
    </row>
    <row r="225" customFormat="false" ht="15" hidden="false" customHeight="false" outlineLevel="0" collapsed="false">
      <c r="C225" s="40"/>
      <c r="D225" s="40"/>
      <c r="E225" s="40"/>
    </row>
    <row r="226" customFormat="false" ht="15" hidden="false" customHeight="false" outlineLevel="0" collapsed="false">
      <c r="C226" s="40"/>
      <c r="D226" s="40"/>
      <c r="E226" s="40"/>
    </row>
    <row r="227" customFormat="false" ht="15" hidden="false" customHeight="false" outlineLevel="0" collapsed="false">
      <c r="C227" s="40"/>
      <c r="D227" s="40"/>
      <c r="E227" s="40"/>
    </row>
    <row r="228" customFormat="false" ht="15" hidden="false" customHeight="false" outlineLevel="0" collapsed="false">
      <c r="C228" s="40"/>
      <c r="D228" s="40"/>
      <c r="E228" s="40"/>
    </row>
    <row r="229" customFormat="false" ht="15" hidden="false" customHeight="false" outlineLevel="0" collapsed="false">
      <c r="C229" s="40"/>
      <c r="D229" s="40"/>
      <c r="E229" s="40"/>
    </row>
    <row r="230" customFormat="false" ht="15" hidden="false" customHeight="false" outlineLevel="0" collapsed="false">
      <c r="C230" s="40"/>
      <c r="D230" s="40"/>
      <c r="E230" s="40"/>
    </row>
    <row r="231" customFormat="false" ht="15" hidden="false" customHeight="false" outlineLevel="0" collapsed="false">
      <c r="C231" s="40"/>
      <c r="D231" s="40"/>
      <c r="E231" s="40"/>
    </row>
    <row r="232" customFormat="false" ht="15" hidden="false" customHeight="false" outlineLevel="0" collapsed="false">
      <c r="C232" s="40"/>
      <c r="D232" s="40"/>
      <c r="E232" s="40"/>
    </row>
    <row r="233" customFormat="false" ht="15" hidden="false" customHeight="false" outlineLevel="0" collapsed="false">
      <c r="C233" s="40"/>
      <c r="D233" s="40"/>
      <c r="E233" s="40"/>
    </row>
    <row r="234" customFormat="false" ht="15" hidden="false" customHeight="false" outlineLevel="0" collapsed="false">
      <c r="C234" s="40"/>
      <c r="D234" s="40"/>
      <c r="E234" s="40"/>
    </row>
    <row r="235" customFormat="false" ht="15" hidden="false" customHeight="false" outlineLevel="0" collapsed="false">
      <c r="C235" s="40"/>
      <c r="D235" s="40"/>
      <c r="E235" s="40"/>
    </row>
    <row r="236" customFormat="false" ht="15" hidden="false" customHeight="false" outlineLevel="0" collapsed="false">
      <c r="C236" s="40"/>
      <c r="D236" s="40"/>
      <c r="E236" s="40"/>
    </row>
    <row r="237" customFormat="false" ht="15" hidden="false" customHeight="false" outlineLevel="0" collapsed="false">
      <c r="C237" s="40"/>
      <c r="D237" s="40"/>
      <c r="E237" s="40"/>
    </row>
    <row r="238" customFormat="false" ht="15" hidden="false" customHeight="false" outlineLevel="0" collapsed="false">
      <c r="C238" s="40"/>
      <c r="D238" s="40"/>
      <c r="E238" s="40"/>
    </row>
    <row r="239" customFormat="false" ht="15" hidden="false" customHeight="false" outlineLevel="0" collapsed="false">
      <c r="C239" s="40"/>
      <c r="D239" s="40"/>
      <c r="E239" s="40"/>
    </row>
    <row r="240" customFormat="false" ht="15" hidden="false" customHeight="false" outlineLevel="0" collapsed="false">
      <c r="C240" s="40"/>
      <c r="D240" s="40"/>
      <c r="E240" s="40"/>
    </row>
    <row r="241" customFormat="false" ht="15" hidden="false" customHeight="false" outlineLevel="0" collapsed="false">
      <c r="C241" s="40"/>
      <c r="D241" s="40"/>
      <c r="E241" s="40"/>
    </row>
    <row r="242" customFormat="false" ht="15" hidden="false" customHeight="false" outlineLevel="0" collapsed="false">
      <c r="C242" s="40"/>
      <c r="D242" s="40"/>
      <c r="E242" s="40"/>
    </row>
    <row r="243" customFormat="false" ht="15" hidden="false" customHeight="false" outlineLevel="0" collapsed="false">
      <c r="C243" s="40"/>
      <c r="D243" s="40"/>
      <c r="E243" s="40"/>
    </row>
    <row r="244" customFormat="false" ht="15" hidden="false" customHeight="false" outlineLevel="0" collapsed="false">
      <c r="C244" s="40"/>
      <c r="D244" s="40"/>
      <c r="E244" s="40"/>
    </row>
    <row r="245" customFormat="false" ht="15" hidden="false" customHeight="false" outlineLevel="0" collapsed="false">
      <c r="C245" s="40"/>
      <c r="D245" s="40"/>
      <c r="E245" s="40"/>
    </row>
    <row r="246" customFormat="false" ht="15" hidden="false" customHeight="false" outlineLevel="0" collapsed="false">
      <c r="C246" s="40"/>
      <c r="D246" s="40"/>
      <c r="E246" s="40"/>
    </row>
    <row r="247" customFormat="false" ht="15" hidden="false" customHeight="false" outlineLevel="0" collapsed="false">
      <c r="C247" s="40"/>
      <c r="D247" s="40"/>
      <c r="E247" s="40"/>
    </row>
    <row r="248" customFormat="false" ht="15" hidden="false" customHeight="false" outlineLevel="0" collapsed="false">
      <c r="C248" s="40"/>
      <c r="D248" s="40"/>
      <c r="E248" s="40"/>
    </row>
    <row r="249" customFormat="false" ht="15" hidden="false" customHeight="false" outlineLevel="0" collapsed="false">
      <c r="C249" s="40"/>
      <c r="D249" s="40"/>
      <c r="E249" s="40"/>
    </row>
    <row r="250" customFormat="false" ht="15" hidden="false" customHeight="false" outlineLevel="0" collapsed="false">
      <c r="C250" s="40"/>
      <c r="D250" s="40"/>
      <c r="E250" s="40"/>
    </row>
    <row r="251" customFormat="false" ht="15" hidden="false" customHeight="false" outlineLevel="0" collapsed="false">
      <c r="C251" s="40"/>
      <c r="D251" s="40"/>
      <c r="E251" s="40"/>
    </row>
    <row r="252" customFormat="false" ht="15" hidden="false" customHeight="false" outlineLevel="0" collapsed="false">
      <c r="C252" s="40"/>
      <c r="D252" s="40"/>
      <c r="E252" s="40"/>
    </row>
    <row r="253" customFormat="false" ht="15" hidden="false" customHeight="false" outlineLevel="0" collapsed="false">
      <c r="C253" s="40"/>
      <c r="D253" s="40"/>
      <c r="E253" s="40"/>
    </row>
    <row r="254" customFormat="false" ht="15" hidden="false" customHeight="false" outlineLevel="0" collapsed="false">
      <c r="C254" s="40"/>
      <c r="D254" s="40"/>
      <c r="E254" s="40"/>
    </row>
    <row r="255" customFormat="false" ht="15" hidden="false" customHeight="false" outlineLevel="0" collapsed="false">
      <c r="C255" s="40"/>
      <c r="D255" s="40"/>
      <c r="E255" s="40"/>
    </row>
    <row r="256" customFormat="false" ht="15" hidden="false" customHeight="false" outlineLevel="0" collapsed="false">
      <c r="C256" s="40"/>
      <c r="D256" s="40"/>
      <c r="E256" s="40"/>
    </row>
    <row r="257" customFormat="false" ht="15" hidden="false" customHeight="false" outlineLevel="0" collapsed="false">
      <c r="C257" s="40"/>
      <c r="D257" s="40"/>
      <c r="E257" s="40"/>
    </row>
    <row r="258" customFormat="false" ht="15" hidden="false" customHeight="false" outlineLevel="0" collapsed="false">
      <c r="C258" s="40"/>
      <c r="D258" s="40"/>
      <c r="E258" s="40"/>
    </row>
    <row r="259" customFormat="false" ht="15" hidden="false" customHeight="false" outlineLevel="0" collapsed="false">
      <c r="C259" s="40"/>
      <c r="D259" s="40"/>
      <c r="E259" s="40"/>
    </row>
    <row r="260" customFormat="false" ht="15" hidden="false" customHeight="false" outlineLevel="0" collapsed="false">
      <c r="C260" s="40"/>
      <c r="D260" s="40"/>
      <c r="E260" s="40"/>
    </row>
    <row r="261" customFormat="false" ht="15" hidden="false" customHeight="false" outlineLevel="0" collapsed="false">
      <c r="C261" s="40"/>
      <c r="D261" s="40"/>
      <c r="E261" s="40"/>
    </row>
    <row r="262" customFormat="false" ht="15" hidden="false" customHeight="false" outlineLevel="0" collapsed="false">
      <c r="C262" s="40"/>
      <c r="D262" s="40"/>
      <c r="E262" s="40"/>
    </row>
    <row r="263" customFormat="false" ht="15" hidden="false" customHeight="false" outlineLevel="0" collapsed="false">
      <c r="C263" s="40"/>
      <c r="D263" s="40"/>
      <c r="E263" s="40"/>
    </row>
    <row r="264" customFormat="false" ht="15" hidden="false" customHeight="false" outlineLevel="0" collapsed="false">
      <c r="C264" s="40"/>
      <c r="D264" s="40"/>
      <c r="E264" s="40"/>
    </row>
    <row r="265" customFormat="false" ht="15" hidden="false" customHeight="false" outlineLevel="0" collapsed="false">
      <c r="C265" s="40"/>
      <c r="D265" s="40"/>
      <c r="E265" s="40"/>
    </row>
    <row r="266" customFormat="false" ht="15" hidden="false" customHeight="false" outlineLevel="0" collapsed="false">
      <c r="C266" s="40"/>
      <c r="D266" s="40"/>
      <c r="E266" s="40"/>
    </row>
    <row r="267" customFormat="false" ht="15" hidden="false" customHeight="false" outlineLevel="0" collapsed="false">
      <c r="C267" s="40"/>
      <c r="D267" s="40"/>
      <c r="E267" s="40"/>
    </row>
    <row r="268" customFormat="false" ht="15" hidden="false" customHeight="false" outlineLevel="0" collapsed="false">
      <c r="C268" s="40"/>
      <c r="D268" s="40"/>
      <c r="E268" s="40"/>
    </row>
    <row r="269" customFormat="false" ht="15" hidden="false" customHeight="false" outlineLevel="0" collapsed="false">
      <c r="C269" s="40"/>
      <c r="D269" s="40"/>
      <c r="E269" s="40"/>
    </row>
    <row r="270" customFormat="false" ht="15" hidden="false" customHeight="false" outlineLevel="0" collapsed="false">
      <c r="C270" s="40"/>
      <c r="D270" s="40"/>
      <c r="E270" s="40"/>
    </row>
    <row r="271" customFormat="false" ht="15" hidden="false" customHeight="false" outlineLevel="0" collapsed="false">
      <c r="C271" s="40"/>
      <c r="D271" s="40"/>
      <c r="E271" s="40"/>
    </row>
    <row r="272" customFormat="false" ht="15" hidden="false" customHeight="false" outlineLevel="0" collapsed="false">
      <c r="C272" s="40"/>
      <c r="D272" s="40"/>
      <c r="E272" s="40"/>
    </row>
    <row r="273" customFormat="false" ht="15" hidden="false" customHeight="false" outlineLevel="0" collapsed="false">
      <c r="C273" s="40"/>
      <c r="D273" s="40"/>
      <c r="E273" s="40"/>
    </row>
    <row r="274" customFormat="false" ht="15" hidden="false" customHeight="false" outlineLevel="0" collapsed="false">
      <c r="C274" s="40"/>
      <c r="D274" s="40"/>
      <c r="E274" s="40"/>
    </row>
    <row r="275" customFormat="false" ht="15" hidden="false" customHeight="false" outlineLevel="0" collapsed="false">
      <c r="C275" s="40"/>
      <c r="D275" s="40"/>
      <c r="E275" s="40"/>
    </row>
    <row r="276" customFormat="false" ht="15" hidden="false" customHeight="false" outlineLevel="0" collapsed="false">
      <c r="C276" s="40"/>
      <c r="D276" s="40"/>
      <c r="E276" s="40"/>
    </row>
    <row r="277" customFormat="false" ht="15" hidden="false" customHeight="false" outlineLevel="0" collapsed="false">
      <c r="C277" s="40"/>
      <c r="D277" s="40"/>
      <c r="E277" s="40"/>
    </row>
    <row r="278" customFormat="false" ht="15" hidden="false" customHeight="false" outlineLevel="0" collapsed="false">
      <c r="C278" s="40"/>
      <c r="D278" s="40"/>
      <c r="E278" s="40"/>
    </row>
    <row r="279" customFormat="false" ht="15" hidden="false" customHeight="false" outlineLevel="0" collapsed="false">
      <c r="C279" s="40"/>
      <c r="D279" s="40"/>
      <c r="E279" s="40"/>
    </row>
    <row r="280" customFormat="false" ht="15" hidden="false" customHeight="false" outlineLevel="0" collapsed="false">
      <c r="C280" s="40"/>
      <c r="D280" s="40"/>
      <c r="E280" s="40"/>
    </row>
    <row r="281" customFormat="false" ht="15" hidden="false" customHeight="false" outlineLevel="0" collapsed="false">
      <c r="C281" s="40"/>
      <c r="D281" s="40"/>
      <c r="E281" s="40"/>
    </row>
    <row r="282" customFormat="false" ht="15" hidden="false" customHeight="false" outlineLevel="0" collapsed="false">
      <c r="C282" s="40"/>
      <c r="D282" s="40"/>
      <c r="E282" s="40"/>
    </row>
    <row r="283" customFormat="false" ht="15" hidden="false" customHeight="false" outlineLevel="0" collapsed="false">
      <c r="C283" s="40"/>
      <c r="D283" s="40"/>
      <c r="E283" s="40"/>
    </row>
    <row r="284" customFormat="false" ht="15" hidden="false" customHeight="false" outlineLevel="0" collapsed="false">
      <c r="C284" s="40"/>
      <c r="D284" s="40"/>
      <c r="E284" s="40"/>
    </row>
    <row r="285" customFormat="false" ht="15" hidden="false" customHeight="false" outlineLevel="0" collapsed="false">
      <c r="C285" s="40"/>
      <c r="D285" s="40"/>
      <c r="E285" s="40"/>
    </row>
    <row r="286" customFormat="false" ht="15" hidden="false" customHeight="false" outlineLevel="0" collapsed="false">
      <c r="C286" s="40"/>
      <c r="D286" s="40"/>
      <c r="E286" s="40"/>
    </row>
    <row r="287" customFormat="false" ht="15" hidden="false" customHeight="false" outlineLevel="0" collapsed="false">
      <c r="C287" s="40"/>
      <c r="D287" s="40"/>
      <c r="E287" s="40"/>
    </row>
    <row r="288" customFormat="false" ht="15" hidden="false" customHeight="false" outlineLevel="0" collapsed="false">
      <c r="C288" s="40"/>
      <c r="D288" s="40"/>
      <c r="E288" s="40"/>
    </row>
    <row r="289" customFormat="false" ht="15" hidden="false" customHeight="false" outlineLevel="0" collapsed="false">
      <c r="C289" s="40"/>
      <c r="D289" s="40"/>
      <c r="E289" s="40"/>
    </row>
    <row r="290" customFormat="false" ht="15" hidden="false" customHeight="false" outlineLevel="0" collapsed="false">
      <c r="C290" s="40"/>
      <c r="D290" s="40"/>
      <c r="E290" s="40"/>
    </row>
    <row r="291" customFormat="false" ht="15" hidden="false" customHeight="false" outlineLevel="0" collapsed="false">
      <c r="C291" s="40"/>
      <c r="D291" s="40"/>
      <c r="E291" s="40"/>
    </row>
    <row r="292" customFormat="false" ht="15" hidden="false" customHeight="false" outlineLevel="0" collapsed="false">
      <c r="C292" s="40"/>
      <c r="D292" s="40"/>
      <c r="E292" s="40"/>
    </row>
    <row r="293" customFormat="false" ht="15" hidden="false" customHeight="false" outlineLevel="0" collapsed="false">
      <c r="C293" s="40"/>
      <c r="D293" s="40"/>
      <c r="E293" s="40"/>
    </row>
    <row r="294" customFormat="false" ht="15" hidden="false" customHeight="false" outlineLevel="0" collapsed="false">
      <c r="C294" s="40"/>
      <c r="D294" s="40"/>
      <c r="E294" s="40"/>
    </row>
    <row r="295" customFormat="false" ht="15" hidden="false" customHeight="false" outlineLevel="0" collapsed="false">
      <c r="C295" s="40"/>
      <c r="D295" s="40"/>
      <c r="E295" s="40"/>
    </row>
    <row r="296" customFormat="false" ht="15" hidden="false" customHeight="false" outlineLevel="0" collapsed="false">
      <c r="C296" s="40"/>
      <c r="D296" s="40"/>
      <c r="E296" s="40"/>
    </row>
    <row r="297" customFormat="false" ht="15" hidden="false" customHeight="false" outlineLevel="0" collapsed="false">
      <c r="C297" s="40"/>
      <c r="D297" s="40"/>
      <c r="E297" s="40"/>
    </row>
    <row r="298" customFormat="false" ht="15" hidden="false" customHeight="false" outlineLevel="0" collapsed="false">
      <c r="C298" s="40"/>
      <c r="D298" s="40"/>
      <c r="E298" s="40"/>
    </row>
    <row r="299" customFormat="false" ht="15" hidden="false" customHeight="false" outlineLevel="0" collapsed="false">
      <c r="C299" s="40"/>
      <c r="D299" s="40"/>
      <c r="E299" s="40"/>
    </row>
    <row r="300" customFormat="false" ht="15" hidden="false" customHeight="false" outlineLevel="0" collapsed="false">
      <c r="C300" s="40"/>
      <c r="D300" s="40"/>
      <c r="E300" s="40"/>
    </row>
    <row r="301" customFormat="false" ht="15" hidden="false" customHeight="false" outlineLevel="0" collapsed="false">
      <c r="C301" s="40"/>
      <c r="D301" s="40"/>
      <c r="E301" s="40"/>
    </row>
    <row r="302" customFormat="false" ht="15" hidden="false" customHeight="false" outlineLevel="0" collapsed="false">
      <c r="C302" s="40"/>
      <c r="D302" s="40"/>
      <c r="E302" s="40"/>
    </row>
    <row r="303" customFormat="false" ht="15" hidden="false" customHeight="false" outlineLevel="0" collapsed="false">
      <c r="C303" s="40"/>
      <c r="D303" s="40"/>
      <c r="E303" s="40"/>
    </row>
    <row r="304" customFormat="false" ht="15" hidden="false" customHeight="false" outlineLevel="0" collapsed="false">
      <c r="C304" s="40"/>
      <c r="D304" s="40"/>
      <c r="E304" s="40"/>
    </row>
    <row r="305" customFormat="false" ht="15" hidden="false" customHeight="false" outlineLevel="0" collapsed="false">
      <c r="C305" s="40"/>
      <c r="D305" s="40"/>
      <c r="E305" s="40"/>
    </row>
    <row r="306" customFormat="false" ht="15" hidden="false" customHeight="false" outlineLevel="0" collapsed="false">
      <c r="C306" s="40"/>
      <c r="D306" s="40"/>
      <c r="E306" s="40"/>
    </row>
    <row r="307" customFormat="false" ht="15" hidden="false" customHeight="false" outlineLevel="0" collapsed="false">
      <c r="C307" s="40"/>
      <c r="D307" s="40"/>
      <c r="E307" s="40"/>
    </row>
    <row r="308" customFormat="false" ht="15" hidden="false" customHeight="false" outlineLevel="0" collapsed="false">
      <c r="C308" s="40"/>
      <c r="D308" s="40"/>
      <c r="E308" s="40"/>
    </row>
    <row r="309" customFormat="false" ht="15" hidden="false" customHeight="false" outlineLevel="0" collapsed="false">
      <c r="C309" s="40"/>
      <c r="D309" s="40"/>
      <c r="E309" s="40"/>
    </row>
    <row r="310" customFormat="false" ht="15" hidden="false" customHeight="false" outlineLevel="0" collapsed="false">
      <c r="C310" s="40"/>
      <c r="D310" s="40"/>
      <c r="E310" s="40"/>
    </row>
    <row r="311" customFormat="false" ht="15" hidden="false" customHeight="false" outlineLevel="0" collapsed="false">
      <c r="C311" s="40"/>
      <c r="D311" s="40"/>
      <c r="E311" s="40"/>
    </row>
    <row r="312" customFormat="false" ht="15" hidden="false" customHeight="false" outlineLevel="0" collapsed="false">
      <c r="C312" s="40"/>
      <c r="D312" s="40"/>
      <c r="E312" s="40"/>
    </row>
    <row r="313" customFormat="false" ht="15" hidden="false" customHeight="false" outlineLevel="0" collapsed="false">
      <c r="C313" s="40"/>
      <c r="D313" s="40"/>
      <c r="E313" s="40"/>
    </row>
    <row r="314" customFormat="false" ht="15" hidden="false" customHeight="false" outlineLevel="0" collapsed="false">
      <c r="C314" s="40"/>
      <c r="D314" s="40"/>
      <c r="E314" s="40"/>
    </row>
    <row r="315" customFormat="false" ht="15" hidden="false" customHeight="false" outlineLevel="0" collapsed="false">
      <c r="C315" s="40"/>
      <c r="D315" s="40"/>
      <c r="E315" s="40"/>
    </row>
    <row r="316" customFormat="false" ht="15" hidden="false" customHeight="false" outlineLevel="0" collapsed="false">
      <c r="C316" s="40"/>
      <c r="D316" s="40"/>
      <c r="E316" s="40"/>
    </row>
    <row r="317" customFormat="false" ht="15" hidden="false" customHeight="false" outlineLevel="0" collapsed="false">
      <c r="C317" s="40"/>
      <c r="D317" s="40"/>
      <c r="E317" s="40"/>
    </row>
    <row r="318" customFormat="false" ht="15" hidden="false" customHeight="false" outlineLevel="0" collapsed="false">
      <c r="C318" s="40"/>
      <c r="D318" s="40"/>
      <c r="E318" s="40"/>
    </row>
    <row r="319" customFormat="false" ht="15" hidden="false" customHeight="false" outlineLevel="0" collapsed="false">
      <c r="C319" s="40"/>
      <c r="D319" s="40"/>
      <c r="E319" s="40"/>
    </row>
    <row r="320" customFormat="false" ht="15" hidden="false" customHeight="false" outlineLevel="0" collapsed="false">
      <c r="C320" s="40"/>
      <c r="D320" s="40"/>
      <c r="E320" s="40"/>
    </row>
    <row r="321" customFormat="false" ht="15" hidden="false" customHeight="false" outlineLevel="0" collapsed="false">
      <c r="C321" s="40"/>
      <c r="D321" s="40"/>
      <c r="E321" s="40"/>
    </row>
    <row r="322" customFormat="false" ht="15" hidden="false" customHeight="false" outlineLevel="0" collapsed="false">
      <c r="C322" s="40"/>
      <c r="D322" s="40"/>
      <c r="E322" s="40"/>
    </row>
    <row r="323" customFormat="false" ht="15" hidden="false" customHeight="false" outlineLevel="0" collapsed="false">
      <c r="C323" s="40"/>
      <c r="D323" s="40"/>
      <c r="E323" s="40"/>
    </row>
    <row r="324" customFormat="false" ht="15" hidden="false" customHeight="false" outlineLevel="0" collapsed="false">
      <c r="C324" s="40"/>
      <c r="D324" s="40"/>
      <c r="E324" s="40"/>
    </row>
    <row r="325" customFormat="false" ht="15" hidden="false" customHeight="false" outlineLevel="0" collapsed="false">
      <c r="C325" s="40"/>
      <c r="D325" s="40"/>
      <c r="E325" s="40"/>
    </row>
    <row r="326" customFormat="false" ht="15" hidden="false" customHeight="false" outlineLevel="0" collapsed="false">
      <c r="C326" s="40"/>
      <c r="D326" s="40"/>
      <c r="E326" s="40"/>
    </row>
    <row r="327" customFormat="false" ht="15" hidden="false" customHeight="false" outlineLevel="0" collapsed="false">
      <c r="C327" s="40"/>
      <c r="D327" s="40"/>
      <c r="E327" s="40"/>
    </row>
    <row r="328" customFormat="false" ht="15" hidden="false" customHeight="false" outlineLevel="0" collapsed="false">
      <c r="C328" s="40"/>
      <c r="D328" s="40"/>
      <c r="E328" s="40"/>
    </row>
    <row r="329" customFormat="false" ht="15" hidden="false" customHeight="false" outlineLevel="0" collapsed="false">
      <c r="C329" s="40"/>
      <c r="D329" s="40"/>
      <c r="E329" s="40"/>
    </row>
    <row r="330" customFormat="false" ht="15" hidden="false" customHeight="false" outlineLevel="0" collapsed="false">
      <c r="C330" s="40"/>
      <c r="D330" s="40"/>
      <c r="E330" s="40"/>
    </row>
    <row r="331" customFormat="false" ht="15" hidden="false" customHeight="false" outlineLevel="0" collapsed="false">
      <c r="C331" s="40"/>
      <c r="D331" s="40"/>
      <c r="E331" s="40"/>
    </row>
    <row r="332" customFormat="false" ht="15" hidden="false" customHeight="false" outlineLevel="0" collapsed="false">
      <c r="C332" s="40"/>
      <c r="D332" s="40"/>
      <c r="E332" s="40"/>
    </row>
    <row r="333" customFormat="false" ht="15" hidden="false" customHeight="false" outlineLevel="0" collapsed="false">
      <c r="C333" s="40"/>
      <c r="D333" s="40"/>
      <c r="E333" s="40"/>
    </row>
    <row r="334" customFormat="false" ht="15" hidden="false" customHeight="false" outlineLevel="0" collapsed="false">
      <c r="C334" s="40"/>
      <c r="D334" s="40"/>
      <c r="E334" s="40"/>
    </row>
    <row r="335" customFormat="false" ht="15" hidden="false" customHeight="false" outlineLevel="0" collapsed="false">
      <c r="C335" s="40"/>
      <c r="D335" s="40"/>
      <c r="E335" s="40"/>
    </row>
    <row r="336" customFormat="false" ht="15" hidden="false" customHeight="false" outlineLevel="0" collapsed="false">
      <c r="C336" s="40"/>
      <c r="D336" s="40"/>
      <c r="E336" s="40"/>
    </row>
    <row r="337" customFormat="false" ht="15" hidden="false" customHeight="false" outlineLevel="0" collapsed="false">
      <c r="C337" s="40"/>
      <c r="D337" s="40"/>
      <c r="E337" s="40"/>
    </row>
    <row r="338" customFormat="false" ht="15" hidden="false" customHeight="false" outlineLevel="0" collapsed="false">
      <c r="C338" s="40"/>
      <c r="D338" s="40"/>
      <c r="E338" s="40"/>
    </row>
    <row r="339" customFormat="false" ht="15" hidden="false" customHeight="false" outlineLevel="0" collapsed="false">
      <c r="C339" s="40"/>
      <c r="D339" s="40"/>
      <c r="E339" s="40"/>
    </row>
    <row r="340" customFormat="false" ht="15" hidden="false" customHeight="false" outlineLevel="0" collapsed="false">
      <c r="C340" s="40"/>
      <c r="D340" s="40"/>
      <c r="E340" s="40"/>
    </row>
    <row r="341" customFormat="false" ht="15" hidden="false" customHeight="false" outlineLevel="0" collapsed="false">
      <c r="C341" s="40"/>
      <c r="D341" s="40"/>
      <c r="E341" s="40"/>
    </row>
    <row r="342" customFormat="false" ht="15" hidden="false" customHeight="false" outlineLevel="0" collapsed="false">
      <c r="C342" s="40"/>
      <c r="D342" s="40"/>
      <c r="E342" s="40"/>
    </row>
    <row r="343" customFormat="false" ht="15" hidden="false" customHeight="false" outlineLevel="0" collapsed="false">
      <c r="C343" s="40"/>
      <c r="D343" s="40"/>
      <c r="E343" s="40"/>
    </row>
    <row r="344" customFormat="false" ht="15" hidden="false" customHeight="false" outlineLevel="0" collapsed="false">
      <c r="C344" s="40"/>
      <c r="D344" s="40"/>
      <c r="E344" s="40"/>
    </row>
    <row r="345" customFormat="false" ht="15" hidden="false" customHeight="false" outlineLevel="0" collapsed="false">
      <c r="C345" s="40"/>
      <c r="D345" s="40"/>
      <c r="E345" s="40"/>
    </row>
    <row r="346" customFormat="false" ht="15" hidden="false" customHeight="false" outlineLevel="0" collapsed="false">
      <c r="C346" s="40"/>
      <c r="D346" s="40"/>
      <c r="E346" s="40"/>
    </row>
    <row r="347" customFormat="false" ht="15" hidden="false" customHeight="false" outlineLevel="0" collapsed="false">
      <c r="C347" s="40"/>
      <c r="D347" s="40"/>
      <c r="E347" s="40"/>
    </row>
    <row r="348" customFormat="false" ht="15" hidden="false" customHeight="false" outlineLevel="0" collapsed="false">
      <c r="C348" s="40"/>
      <c r="D348" s="40"/>
      <c r="E348" s="40"/>
    </row>
    <row r="349" customFormat="false" ht="15" hidden="false" customHeight="false" outlineLevel="0" collapsed="false">
      <c r="C349" s="40"/>
      <c r="D349" s="40"/>
      <c r="E349" s="40"/>
    </row>
    <row r="350" customFormat="false" ht="15" hidden="false" customHeight="false" outlineLevel="0" collapsed="false">
      <c r="C350" s="40"/>
      <c r="D350" s="40"/>
      <c r="E350" s="40"/>
    </row>
    <row r="351" customFormat="false" ht="15" hidden="false" customHeight="false" outlineLevel="0" collapsed="false">
      <c r="C351" s="40"/>
      <c r="D351" s="40"/>
      <c r="E351" s="40"/>
    </row>
    <row r="352" customFormat="false" ht="15" hidden="false" customHeight="false" outlineLevel="0" collapsed="false">
      <c r="C352" s="40"/>
      <c r="D352" s="40"/>
      <c r="E352" s="40"/>
    </row>
    <row r="353" customFormat="false" ht="15" hidden="false" customHeight="false" outlineLevel="0" collapsed="false">
      <c r="C353" s="40"/>
      <c r="D353" s="40"/>
      <c r="E353" s="40"/>
    </row>
    <row r="354" customFormat="false" ht="15" hidden="false" customHeight="false" outlineLevel="0" collapsed="false">
      <c r="C354" s="40"/>
      <c r="D354" s="40"/>
      <c r="E354" s="40"/>
    </row>
    <row r="355" customFormat="false" ht="15" hidden="false" customHeight="false" outlineLevel="0" collapsed="false">
      <c r="C355" s="40"/>
      <c r="D355" s="40"/>
      <c r="E355" s="40"/>
    </row>
    <row r="356" customFormat="false" ht="15" hidden="false" customHeight="false" outlineLevel="0" collapsed="false">
      <c r="C356" s="40"/>
      <c r="D356" s="40"/>
      <c r="E356" s="40"/>
    </row>
    <row r="357" customFormat="false" ht="15" hidden="false" customHeight="false" outlineLevel="0" collapsed="false">
      <c r="C357" s="40"/>
      <c r="D357" s="40"/>
      <c r="E357" s="40"/>
    </row>
    <row r="358" customFormat="false" ht="15" hidden="false" customHeight="false" outlineLevel="0" collapsed="false">
      <c r="C358" s="40"/>
      <c r="D358" s="40"/>
      <c r="E358" s="40"/>
    </row>
    <row r="359" customFormat="false" ht="15" hidden="false" customHeight="false" outlineLevel="0" collapsed="false">
      <c r="C359" s="40"/>
      <c r="D359" s="40"/>
      <c r="E359" s="40"/>
    </row>
    <row r="360" customFormat="false" ht="15" hidden="false" customHeight="false" outlineLevel="0" collapsed="false">
      <c r="C360" s="40"/>
      <c r="D360" s="40"/>
      <c r="E360" s="40"/>
    </row>
    <row r="361" customFormat="false" ht="15" hidden="false" customHeight="false" outlineLevel="0" collapsed="false">
      <c r="C361" s="40"/>
      <c r="D361" s="40"/>
      <c r="E361" s="40"/>
    </row>
    <row r="362" customFormat="false" ht="15" hidden="false" customHeight="false" outlineLevel="0" collapsed="false">
      <c r="C362" s="40"/>
      <c r="D362" s="40"/>
      <c r="E362" s="40"/>
    </row>
    <row r="363" customFormat="false" ht="15" hidden="false" customHeight="false" outlineLevel="0" collapsed="false">
      <c r="C363" s="40"/>
      <c r="D363" s="40"/>
      <c r="E363" s="40"/>
    </row>
    <row r="364" customFormat="false" ht="15" hidden="false" customHeight="false" outlineLevel="0" collapsed="false">
      <c r="C364" s="40"/>
      <c r="D364" s="40"/>
      <c r="E364" s="40"/>
    </row>
    <row r="365" customFormat="false" ht="15" hidden="false" customHeight="false" outlineLevel="0" collapsed="false">
      <c r="C365" s="40"/>
      <c r="D365" s="40"/>
      <c r="E365" s="40"/>
    </row>
    <row r="366" customFormat="false" ht="15" hidden="false" customHeight="false" outlineLevel="0" collapsed="false">
      <c r="C366" s="40"/>
      <c r="D366" s="40"/>
      <c r="E366" s="40"/>
    </row>
    <row r="367" customFormat="false" ht="15" hidden="false" customHeight="false" outlineLevel="0" collapsed="false">
      <c r="C367" s="40"/>
      <c r="D367" s="40"/>
      <c r="E367" s="40"/>
    </row>
    <row r="368" customFormat="false" ht="15" hidden="false" customHeight="false" outlineLevel="0" collapsed="false">
      <c r="C368" s="40"/>
      <c r="D368" s="40"/>
      <c r="E368" s="40"/>
    </row>
    <row r="369" customFormat="false" ht="15" hidden="false" customHeight="false" outlineLevel="0" collapsed="false">
      <c r="C369" s="40"/>
      <c r="D369" s="40"/>
      <c r="E369" s="40"/>
    </row>
    <row r="370" customFormat="false" ht="15" hidden="false" customHeight="false" outlineLevel="0" collapsed="false">
      <c r="C370" s="40"/>
      <c r="D370" s="40"/>
      <c r="E370" s="40"/>
    </row>
    <row r="371" customFormat="false" ht="15" hidden="false" customHeight="false" outlineLevel="0" collapsed="false">
      <c r="C371" s="40"/>
      <c r="D371" s="40"/>
      <c r="E371" s="40"/>
    </row>
    <row r="372" customFormat="false" ht="15" hidden="false" customHeight="false" outlineLevel="0" collapsed="false">
      <c r="C372" s="40"/>
      <c r="D372" s="40"/>
      <c r="E372" s="40"/>
    </row>
    <row r="373" customFormat="false" ht="15" hidden="false" customHeight="false" outlineLevel="0" collapsed="false">
      <c r="C373" s="40"/>
      <c r="D373" s="40"/>
      <c r="E373" s="40"/>
    </row>
    <row r="374" customFormat="false" ht="15" hidden="false" customHeight="false" outlineLevel="0" collapsed="false">
      <c r="C374" s="40"/>
      <c r="D374" s="40"/>
      <c r="E374" s="40"/>
    </row>
    <row r="375" customFormat="false" ht="15" hidden="false" customHeight="false" outlineLevel="0" collapsed="false">
      <c r="C375" s="40"/>
      <c r="D375" s="40"/>
      <c r="E375" s="40"/>
    </row>
    <row r="376" customFormat="false" ht="15" hidden="false" customHeight="false" outlineLevel="0" collapsed="false">
      <c r="C376" s="40"/>
      <c r="D376" s="40"/>
      <c r="E376" s="40"/>
    </row>
    <row r="377" customFormat="false" ht="15" hidden="false" customHeight="false" outlineLevel="0" collapsed="false">
      <c r="C377" s="40"/>
      <c r="D377" s="40"/>
      <c r="E377" s="40"/>
    </row>
    <row r="378" customFormat="false" ht="15" hidden="false" customHeight="false" outlineLevel="0" collapsed="false">
      <c r="C378" s="40"/>
      <c r="D378" s="40"/>
      <c r="E378" s="40"/>
    </row>
    <row r="379" customFormat="false" ht="15" hidden="false" customHeight="false" outlineLevel="0" collapsed="false">
      <c r="C379" s="40"/>
      <c r="D379" s="40"/>
      <c r="E379" s="40"/>
    </row>
    <row r="380" customFormat="false" ht="15" hidden="false" customHeight="false" outlineLevel="0" collapsed="false">
      <c r="C380" s="40"/>
      <c r="D380" s="40"/>
      <c r="E380" s="40"/>
    </row>
    <row r="381" customFormat="false" ht="15" hidden="false" customHeight="false" outlineLevel="0" collapsed="false">
      <c r="C381" s="40"/>
      <c r="D381" s="40"/>
      <c r="E381" s="40"/>
    </row>
    <row r="382" customFormat="false" ht="15" hidden="false" customHeight="false" outlineLevel="0" collapsed="false">
      <c r="C382" s="40"/>
      <c r="D382" s="40"/>
      <c r="E382" s="40"/>
    </row>
    <row r="383" customFormat="false" ht="15" hidden="false" customHeight="false" outlineLevel="0" collapsed="false">
      <c r="C383" s="40"/>
      <c r="D383" s="40"/>
      <c r="E383" s="40"/>
    </row>
    <row r="384" customFormat="false" ht="15" hidden="false" customHeight="false" outlineLevel="0" collapsed="false">
      <c r="C384" s="40"/>
      <c r="D384" s="40"/>
      <c r="E384" s="40"/>
    </row>
    <row r="385" customFormat="false" ht="15" hidden="false" customHeight="false" outlineLevel="0" collapsed="false">
      <c r="C385" s="40"/>
      <c r="D385" s="40"/>
      <c r="E385" s="40"/>
    </row>
    <row r="386" customFormat="false" ht="15" hidden="false" customHeight="false" outlineLevel="0" collapsed="false">
      <c r="C386" s="40"/>
      <c r="D386" s="40"/>
      <c r="E386" s="40"/>
    </row>
    <row r="387" customFormat="false" ht="15" hidden="false" customHeight="false" outlineLevel="0" collapsed="false">
      <c r="C387" s="40"/>
      <c r="D387" s="40"/>
      <c r="E387" s="40"/>
    </row>
    <row r="388" customFormat="false" ht="15" hidden="false" customHeight="false" outlineLevel="0" collapsed="false">
      <c r="C388" s="40"/>
      <c r="D388" s="40"/>
      <c r="E388" s="40"/>
    </row>
    <row r="389" customFormat="false" ht="15" hidden="false" customHeight="false" outlineLevel="0" collapsed="false">
      <c r="C389" s="40"/>
      <c r="D389" s="40"/>
      <c r="E389" s="40"/>
    </row>
    <row r="390" customFormat="false" ht="15" hidden="false" customHeight="false" outlineLevel="0" collapsed="false">
      <c r="C390" s="40"/>
      <c r="D390" s="40"/>
      <c r="E390" s="40"/>
    </row>
    <row r="391" customFormat="false" ht="15" hidden="false" customHeight="false" outlineLevel="0" collapsed="false">
      <c r="C391" s="40"/>
      <c r="D391" s="40"/>
      <c r="E391" s="40"/>
    </row>
    <row r="392" customFormat="false" ht="15" hidden="false" customHeight="false" outlineLevel="0" collapsed="false">
      <c r="C392" s="40"/>
      <c r="D392" s="40"/>
      <c r="E392" s="40"/>
    </row>
    <row r="393" customFormat="false" ht="15" hidden="false" customHeight="false" outlineLevel="0" collapsed="false">
      <c r="C393" s="40"/>
      <c r="D393" s="40"/>
      <c r="E393" s="40"/>
    </row>
    <row r="394" customFormat="false" ht="15" hidden="false" customHeight="false" outlineLevel="0" collapsed="false">
      <c r="C394" s="40"/>
      <c r="D394" s="40"/>
      <c r="E394" s="40"/>
    </row>
    <row r="395" customFormat="false" ht="15" hidden="false" customHeight="false" outlineLevel="0" collapsed="false">
      <c r="C395" s="40"/>
      <c r="D395" s="40"/>
      <c r="E395" s="40"/>
    </row>
    <row r="396" customFormat="false" ht="15" hidden="false" customHeight="false" outlineLevel="0" collapsed="false">
      <c r="C396" s="40"/>
      <c r="D396" s="40"/>
      <c r="E396" s="40"/>
    </row>
    <row r="397" customFormat="false" ht="15" hidden="false" customHeight="false" outlineLevel="0" collapsed="false">
      <c r="C397" s="40"/>
      <c r="D397" s="40"/>
      <c r="E397" s="40"/>
    </row>
    <row r="398" customFormat="false" ht="15" hidden="false" customHeight="false" outlineLevel="0" collapsed="false">
      <c r="C398" s="40"/>
      <c r="D398" s="40"/>
      <c r="E398" s="40"/>
    </row>
    <row r="399" customFormat="false" ht="15" hidden="false" customHeight="false" outlineLevel="0" collapsed="false">
      <c r="C399" s="40"/>
      <c r="D399" s="40"/>
      <c r="E399" s="40"/>
    </row>
    <row r="400" customFormat="false" ht="15" hidden="false" customHeight="false" outlineLevel="0" collapsed="false">
      <c r="C400" s="40"/>
      <c r="D400" s="40"/>
      <c r="E400" s="40"/>
    </row>
    <row r="401" customFormat="false" ht="15" hidden="false" customHeight="false" outlineLevel="0" collapsed="false">
      <c r="C401" s="40"/>
      <c r="D401" s="40"/>
      <c r="E401" s="40"/>
    </row>
    <row r="402" customFormat="false" ht="15" hidden="false" customHeight="false" outlineLevel="0" collapsed="false">
      <c r="C402" s="40"/>
      <c r="D402" s="40"/>
      <c r="E402" s="40"/>
    </row>
    <row r="403" customFormat="false" ht="15" hidden="false" customHeight="false" outlineLevel="0" collapsed="false">
      <c r="C403" s="40"/>
      <c r="D403" s="40"/>
      <c r="E403" s="40"/>
    </row>
    <row r="404" customFormat="false" ht="15" hidden="false" customHeight="false" outlineLevel="0" collapsed="false">
      <c r="C404" s="40"/>
      <c r="D404" s="40"/>
      <c r="E404" s="40"/>
    </row>
    <row r="405" customFormat="false" ht="15" hidden="false" customHeight="false" outlineLevel="0" collapsed="false">
      <c r="C405" s="40"/>
      <c r="D405" s="40"/>
      <c r="E405" s="40"/>
    </row>
    <row r="406" customFormat="false" ht="15" hidden="false" customHeight="false" outlineLevel="0" collapsed="false">
      <c r="C406" s="40"/>
      <c r="D406" s="40"/>
      <c r="E406" s="40"/>
    </row>
    <row r="407" customFormat="false" ht="15" hidden="false" customHeight="false" outlineLevel="0" collapsed="false">
      <c r="C407" s="40"/>
      <c r="D407" s="40"/>
      <c r="E407" s="40"/>
    </row>
    <row r="408" customFormat="false" ht="15" hidden="false" customHeight="false" outlineLevel="0" collapsed="false">
      <c r="C408" s="40"/>
      <c r="D408" s="40"/>
      <c r="E408" s="40"/>
    </row>
    <row r="409" customFormat="false" ht="15" hidden="false" customHeight="false" outlineLevel="0" collapsed="false">
      <c r="C409" s="40"/>
      <c r="D409" s="40"/>
      <c r="E409" s="40"/>
    </row>
    <row r="410" customFormat="false" ht="15" hidden="false" customHeight="false" outlineLevel="0" collapsed="false">
      <c r="C410" s="40"/>
      <c r="D410" s="40"/>
      <c r="E410" s="40"/>
    </row>
    <row r="411" customFormat="false" ht="15" hidden="false" customHeight="false" outlineLevel="0" collapsed="false">
      <c r="C411" s="40"/>
      <c r="D411" s="40"/>
      <c r="E411" s="40"/>
    </row>
    <row r="412" customFormat="false" ht="15" hidden="false" customHeight="false" outlineLevel="0" collapsed="false">
      <c r="C412" s="40"/>
      <c r="D412" s="40"/>
      <c r="E412" s="40"/>
    </row>
    <row r="413" customFormat="false" ht="15" hidden="false" customHeight="false" outlineLevel="0" collapsed="false">
      <c r="C413" s="40"/>
      <c r="D413" s="40"/>
      <c r="E413" s="40"/>
    </row>
    <row r="414" customFormat="false" ht="15" hidden="false" customHeight="false" outlineLevel="0" collapsed="false">
      <c r="C414" s="40"/>
      <c r="D414" s="40"/>
      <c r="E414" s="40"/>
    </row>
    <row r="415" customFormat="false" ht="15" hidden="false" customHeight="false" outlineLevel="0" collapsed="false">
      <c r="C415" s="40"/>
      <c r="D415" s="40"/>
      <c r="E415" s="40"/>
    </row>
    <row r="416" customFormat="false" ht="15" hidden="false" customHeight="false" outlineLevel="0" collapsed="false">
      <c r="C416" s="40"/>
      <c r="D416" s="40"/>
      <c r="E416" s="40"/>
    </row>
    <row r="417" customFormat="false" ht="15" hidden="false" customHeight="false" outlineLevel="0" collapsed="false">
      <c r="C417" s="40"/>
      <c r="D417" s="40"/>
      <c r="E417" s="40"/>
    </row>
    <row r="418" customFormat="false" ht="15" hidden="false" customHeight="false" outlineLevel="0" collapsed="false">
      <c r="C418" s="40"/>
      <c r="D418" s="40"/>
      <c r="E418" s="40"/>
    </row>
    <row r="419" customFormat="false" ht="15" hidden="false" customHeight="false" outlineLevel="0" collapsed="false">
      <c r="C419" s="40"/>
      <c r="D419" s="40"/>
      <c r="E419" s="40"/>
    </row>
    <row r="420" customFormat="false" ht="15" hidden="false" customHeight="false" outlineLevel="0" collapsed="false">
      <c r="C420" s="40"/>
      <c r="D420" s="40"/>
      <c r="E420" s="40"/>
    </row>
    <row r="421" customFormat="false" ht="15" hidden="false" customHeight="false" outlineLevel="0" collapsed="false">
      <c r="C421" s="40"/>
      <c r="D421" s="40"/>
      <c r="E421" s="40"/>
    </row>
    <row r="422" customFormat="false" ht="15" hidden="false" customHeight="false" outlineLevel="0" collapsed="false">
      <c r="C422" s="40"/>
      <c r="D422" s="40"/>
      <c r="E422" s="40"/>
    </row>
    <row r="423" customFormat="false" ht="15" hidden="false" customHeight="false" outlineLevel="0" collapsed="false">
      <c r="C423" s="40"/>
      <c r="D423" s="40"/>
      <c r="E423" s="40"/>
    </row>
    <row r="424" customFormat="false" ht="15" hidden="false" customHeight="false" outlineLevel="0" collapsed="false">
      <c r="C424" s="40"/>
      <c r="D424" s="40"/>
      <c r="E424" s="40"/>
    </row>
    <row r="425" customFormat="false" ht="15" hidden="false" customHeight="false" outlineLevel="0" collapsed="false">
      <c r="C425" s="40"/>
      <c r="D425" s="40"/>
      <c r="E425" s="40"/>
    </row>
    <row r="426" customFormat="false" ht="15" hidden="false" customHeight="false" outlineLevel="0" collapsed="false">
      <c r="C426" s="40"/>
      <c r="D426" s="40"/>
      <c r="E426" s="40"/>
    </row>
    <row r="427" customFormat="false" ht="15" hidden="false" customHeight="false" outlineLevel="0" collapsed="false">
      <c r="C427" s="40"/>
      <c r="D427" s="40"/>
      <c r="E427" s="40"/>
    </row>
    <row r="428" customFormat="false" ht="15" hidden="false" customHeight="false" outlineLevel="0" collapsed="false">
      <c r="C428" s="40"/>
      <c r="D428" s="40"/>
      <c r="E428" s="40"/>
    </row>
    <row r="429" customFormat="false" ht="15" hidden="false" customHeight="false" outlineLevel="0" collapsed="false">
      <c r="C429" s="40"/>
      <c r="D429" s="40"/>
      <c r="E429" s="40"/>
    </row>
    <row r="430" customFormat="false" ht="15" hidden="false" customHeight="false" outlineLevel="0" collapsed="false">
      <c r="C430" s="40"/>
      <c r="D430" s="40"/>
      <c r="E430" s="40"/>
    </row>
    <row r="431" customFormat="false" ht="15" hidden="false" customHeight="false" outlineLevel="0" collapsed="false">
      <c r="C431" s="40"/>
      <c r="D431" s="40"/>
      <c r="E431" s="40"/>
    </row>
    <row r="432" customFormat="false" ht="15" hidden="false" customHeight="false" outlineLevel="0" collapsed="false">
      <c r="C432" s="40"/>
      <c r="D432" s="40"/>
      <c r="E432" s="40"/>
    </row>
    <row r="433" customFormat="false" ht="15" hidden="false" customHeight="false" outlineLevel="0" collapsed="false">
      <c r="C433" s="40"/>
      <c r="D433" s="40"/>
      <c r="E433" s="40"/>
    </row>
    <row r="434" customFormat="false" ht="15" hidden="false" customHeight="false" outlineLevel="0" collapsed="false">
      <c r="C434" s="40"/>
      <c r="D434" s="40"/>
      <c r="E434" s="40"/>
    </row>
    <row r="435" customFormat="false" ht="15" hidden="false" customHeight="false" outlineLevel="0" collapsed="false">
      <c r="C435" s="40"/>
      <c r="D435" s="40"/>
      <c r="E435" s="40"/>
    </row>
    <row r="436" customFormat="false" ht="15" hidden="false" customHeight="false" outlineLevel="0" collapsed="false">
      <c r="C436" s="40"/>
      <c r="D436" s="40"/>
      <c r="E436" s="40"/>
    </row>
    <row r="437" customFormat="false" ht="15" hidden="false" customHeight="false" outlineLevel="0" collapsed="false">
      <c r="C437" s="40"/>
      <c r="D437" s="40"/>
      <c r="E437" s="40"/>
    </row>
    <row r="438" customFormat="false" ht="15" hidden="false" customHeight="false" outlineLevel="0" collapsed="false">
      <c r="C438" s="40"/>
      <c r="D438" s="40"/>
      <c r="E438" s="40"/>
    </row>
    <row r="439" customFormat="false" ht="15" hidden="false" customHeight="false" outlineLevel="0" collapsed="false">
      <c r="C439" s="40"/>
      <c r="D439" s="40"/>
      <c r="E439" s="40"/>
    </row>
    <row r="440" customFormat="false" ht="15" hidden="false" customHeight="false" outlineLevel="0" collapsed="false">
      <c r="C440" s="40"/>
      <c r="D440" s="40"/>
      <c r="E440" s="40"/>
    </row>
    <row r="441" customFormat="false" ht="15" hidden="false" customHeight="false" outlineLevel="0" collapsed="false">
      <c r="C441" s="40"/>
      <c r="D441" s="40"/>
      <c r="E441" s="40"/>
    </row>
    <row r="442" customFormat="false" ht="15" hidden="false" customHeight="false" outlineLevel="0" collapsed="false">
      <c r="C442" s="40"/>
      <c r="D442" s="40"/>
      <c r="E442" s="40"/>
    </row>
    <row r="443" customFormat="false" ht="15" hidden="false" customHeight="false" outlineLevel="0" collapsed="false">
      <c r="C443" s="40"/>
      <c r="D443" s="40"/>
      <c r="E443" s="40"/>
    </row>
    <row r="444" customFormat="false" ht="15" hidden="false" customHeight="false" outlineLevel="0" collapsed="false">
      <c r="C444" s="40"/>
      <c r="D444" s="40"/>
      <c r="E444" s="40"/>
    </row>
    <row r="445" customFormat="false" ht="15" hidden="false" customHeight="false" outlineLevel="0" collapsed="false">
      <c r="C445" s="40"/>
      <c r="D445" s="40"/>
      <c r="E445" s="40"/>
    </row>
    <row r="446" customFormat="false" ht="15" hidden="false" customHeight="false" outlineLevel="0" collapsed="false">
      <c r="C446" s="40"/>
      <c r="D446" s="40"/>
      <c r="E446" s="40"/>
    </row>
    <row r="447" customFormat="false" ht="15" hidden="false" customHeight="false" outlineLevel="0" collapsed="false">
      <c r="C447" s="40"/>
      <c r="D447" s="40"/>
      <c r="E447" s="40"/>
    </row>
    <row r="448" customFormat="false" ht="15" hidden="false" customHeight="false" outlineLevel="0" collapsed="false">
      <c r="C448" s="40"/>
      <c r="D448" s="40"/>
      <c r="E448" s="40"/>
    </row>
    <row r="449" customFormat="false" ht="15" hidden="false" customHeight="false" outlineLevel="0" collapsed="false">
      <c r="C449" s="40"/>
      <c r="D449" s="40"/>
      <c r="E449" s="40"/>
    </row>
    <row r="450" customFormat="false" ht="15" hidden="false" customHeight="false" outlineLevel="0" collapsed="false">
      <c r="C450" s="40"/>
      <c r="D450" s="40"/>
      <c r="E450" s="40"/>
    </row>
    <row r="451" customFormat="false" ht="15" hidden="false" customHeight="false" outlineLevel="0" collapsed="false">
      <c r="C451" s="40"/>
      <c r="D451" s="40"/>
      <c r="E451" s="40"/>
    </row>
    <row r="452" customFormat="false" ht="15" hidden="false" customHeight="false" outlineLevel="0" collapsed="false">
      <c r="C452" s="40"/>
      <c r="D452" s="40"/>
      <c r="E452" s="40"/>
    </row>
    <row r="453" customFormat="false" ht="15" hidden="false" customHeight="false" outlineLevel="0" collapsed="false">
      <c r="C453" s="40"/>
      <c r="D453" s="40"/>
      <c r="E453" s="40"/>
    </row>
    <row r="454" customFormat="false" ht="15" hidden="false" customHeight="false" outlineLevel="0" collapsed="false">
      <c r="C454" s="40"/>
      <c r="D454" s="40"/>
      <c r="E454" s="40"/>
    </row>
    <row r="455" customFormat="false" ht="15" hidden="false" customHeight="false" outlineLevel="0" collapsed="false">
      <c r="C455" s="40"/>
      <c r="D455" s="40"/>
      <c r="E455" s="40"/>
    </row>
    <row r="456" customFormat="false" ht="15" hidden="false" customHeight="false" outlineLevel="0" collapsed="false">
      <c r="C456" s="40"/>
      <c r="D456" s="40"/>
      <c r="E456" s="40"/>
    </row>
    <row r="457" customFormat="false" ht="15" hidden="false" customHeight="false" outlineLevel="0" collapsed="false">
      <c r="C457" s="40"/>
      <c r="D457" s="40"/>
      <c r="E457" s="40"/>
    </row>
    <row r="458" customFormat="false" ht="15" hidden="false" customHeight="false" outlineLevel="0" collapsed="false">
      <c r="C458" s="40"/>
      <c r="D458" s="40"/>
      <c r="E458" s="40"/>
    </row>
    <row r="459" customFormat="false" ht="15" hidden="false" customHeight="false" outlineLevel="0" collapsed="false">
      <c r="C459" s="40"/>
      <c r="D459" s="40"/>
      <c r="E459" s="40"/>
    </row>
    <row r="460" customFormat="false" ht="15" hidden="false" customHeight="false" outlineLevel="0" collapsed="false">
      <c r="C460" s="40"/>
      <c r="D460" s="40"/>
      <c r="E460" s="40"/>
    </row>
    <row r="461" customFormat="false" ht="15" hidden="false" customHeight="false" outlineLevel="0" collapsed="false">
      <c r="C461" s="40"/>
      <c r="D461" s="40"/>
      <c r="E461" s="40"/>
    </row>
    <row r="462" customFormat="false" ht="15" hidden="false" customHeight="false" outlineLevel="0" collapsed="false">
      <c r="C462" s="40"/>
      <c r="D462" s="40"/>
      <c r="E462" s="40"/>
    </row>
    <row r="463" customFormat="false" ht="15" hidden="false" customHeight="false" outlineLevel="0" collapsed="false">
      <c r="C463" s="40"/>
      <c r="D463" s="40"/>
      <c r="E463" s="40"/>
    </row>
    <row r="464" customFormat="false" ht="15" hidden="false" customHeight="false" outlineLevel="0" collapsed="false">
      <c r="C464" s="40"/>
      <c r="D464" s="40"/>
      <c r="E464" s="40"/>
    </row>
    <row r="465" customFormat="false" ht="15" hidden="false" customHeight="false" outlineLevel="0" collapsed="false">
      <c r="C465" s="40"/>
      <c r="D465" s="40"/>
      <c r="E465" s="40"/>
    </row>
    <row r="466" customFormat="false" ht="15" hidden="false" customHeight="false" outlineLevel="0" collapsed="false">
      <c r="C466" s="40"/>
      <c r="D466" s="40"/>
      <c r="E466" s="40"/>
    </row>
    <row r="467" customFormat="false" ht="15" hidden="false" customHeight="false" outlineLevel="0" collapsed="false">
      <c r="C467" s="40"/>
      <c r="D467" s="40"/>
      <c r="E467" s="40"/>
    </row>
    <row r="468" customFormat="false" ht="15" hidden="false" customHeight="false" outlineLevel="0" collapsed="false">
      <c r="C468" s="40"/>
      <c r="D468" s="40"/>
      <c r="E468" s="40"/>
    </row>
    <row r="469" customFormat="false" ht="15" hidden="false" customHeight="false" outlineLevel="0" collapsed="false">
      <c r="C469" s="40"/>
      <c r="D469" s="40"/>
      <c r="E469" s="40"/>
    </row>
    <row r="470" customFormat="false" ht="15" hidden="false" customHeight="false" outlineLevel="0" collapsed="false">
      <c r="C470" s="40"/>
      <c r="D470" s="40"/>
      <c r="E470" s="40"/>
    </row>
    <row r="471" customFormat="false" ht="15" hidden="false" customHeight="false" outlineLevel="0" collapsed="false">
      <c r="C471" s="40"/>
      <c r="D471" s="40"/>
      <c r="E471" s="40"/>
    </row>
    <row r="472" customFormat="false" ht="15" hidden="false" customHeight="false" outlineLevel="0" collapsed="false">
      <c r="C472" s="40"/>
      <c r="D472" s="40"/>
      <c r="E472" s="40"/>
    </row>
    <row r="473" customFormat="false" ht="15" hidden="false" customHeight="false" outlineLevel="0" collapsed="false">
      <c r="C473" s="40"/>
      <c r="D473" s="40"/>
      <c r="E473" s="40"/>
    </row>
    <row r="474" customFormat="false" ht="15" hidden="false" customHeight="false" outlineLevel="0" collapsed="false">
      <c r="C474" s="40"/>
      <c r="D474" s="40"/>
      <c r="E474" s="40"/>
    </row>
    <row r="475" customFormat="false" ht="15" hidden="false" customHeight="false" outlineLevel="0" collapsed="false">
      <c r="C475" s="40"/>
      <c r="D475" s="40"/>
      <c r="E475" s="40"/>
    </row>
    <row r="476" customFormat="false" ht="15" hidden="false" customHeight="false" outlineLevel="0" collapsed="false">
      <c r="C476" s="40"/>
      <c r="D476" s="40"/>
      <c r="E476" s="40"/>
    </row>
    <row r="477" customFormat="false" ht="15" hidden="false" customHeight="false" outlineLevel="0" collapsed="false">
      <c r="C477" s="40"/>
      <c r="D477" s="40"/>
      <c r="E477" s="40"/>
    </row>
    <row r="478" customFormat="false" ht="15" hidden="false" customHeight="false" outlineLevel="0" collapsed="false">
      <c r="C478" s="40"/>
      <c r="D478" s="40"/>
      <c r="E478" s="40"/>
    </row>
    <row r="479" customFormat="false" ht="15" hidden="false" customHeight="false" outlineLevel="0" collapsed="false">
      <c r="C479" s="40"/>
      <c r="D479" s="40"/>
      <c r="E479" s="40"/>
    </row>
    <row r="480" customFormat="false" ht="15" hidden="false" customHeight="false" outlineLevel="0" collapsed="false">
      <c r="C480" s="40"/>
      <c r="D480" s="40"/>
      <c r="E480" s="40"/>
    </row>
    <row r="481" customFormat="false" ht="15" hidden="false" customHeight="false" outlineLevel="0" collapsed="false">
      <c r="C481" s="40"/>
      <c r="D481" s="40"/>
      <c r="E481" s="40"/>
    </row>
    <row r="482" customFormat="false" ht="15" hidden="false" customHeight="false" outlineLevel="0" collapsed="false">
      <c r="C482" s="40"/>
      <c r="D482" s="40"/>
      <c r="E482" s="40"/>
    </row>
    <row r="483" customFormat="false" ht="15" hidden="false" customHeight="false" outlineLevel="0" collapsed="false">
      <c r="C483" s="40"/>
      <c r="D483" s="40"/>
      <c r="E483" s="40"/>
    </row>
    <row r="484" customFormat="false" ht="15" hidden="false" customHeight="false" outlineLevel="0" collapsed="false">
      <c r="C484" s="40"/>
      <c r="D484" s="40"/>
      <c r="E484" s="40"/>
    </row>
    <row r="485" customFormat="false" ht="15" hidden="false" customHeight="false" outlineLevel="0" collapsed="false">
      <c r="C485" s="40"/>
      <c r="D485" s="40"/>
      <c r="E485" s="40"/>
    </row>
    <row r="486" customFormat="false" ht="15" hidden="false" customHeight="false" outlineLevel="0" collapsed="false">
      <c r="C486" s="40"/>
      <c r="D486" s="40"/>
      <c r="E486" s="40"/>
    </row>
    <row r="487" customFormat="false" ht="15" hidden="false" customHeight="false" outlineLevel="0" collapsed="false">
      <c r="C487" s="40"/>
      <c r="D487" s="40"/>
      <c r="E487" s="40"/>
    </row>
    <row r="488" customFormat="false" ht="15" hidden="false" customHeight="false" outlineLevel="0" collapsed="false">
      <c r="C488" s="40"/>
      <c r="D488" s="40"/>
      <c r="E488" s="40"/>
    </row>
    <row r="489" customFormat="false" ht="15" hidden="false" customHeight="false" outlineLevel="0" collapsed="false">
      <c r="C489" s="40"/>
      <c r="D489" s="40"/>
      <c r="E489" s="40"/>
    </row>
    <row r="490" customFormat="false" ht="15" hidden="false" customHeight="false" outlineLevel="0" collapsed="false">
      <c r="C490" s="40"/>
      <c r="D490" s="40"/>
      <c r="E490" s="40"/>
    </row>
    <row r="491" customFormat="false" ht="15" hidden="false" customHeight="false" outlineLevel="0" collapsed="false">
      <c r="C491" s="40"/>
      <c r="D491" s="40"/>
      <c r="E491" s="40"/>
    </row>
    <row r="492" customFormat="false" ht="15" hidden="false" customHeight="false" outlineLevel="0" collapsed="false">
      <c r="C492" s="40"/>
      <c r="D492" s="40"/>
      <c r="E492" s="40"/>
    </row>
    <row r="493" customFormat="false" ht="15" hidden="false" customHeight="false" outlineLevel="0" collapsed="false">
      <c r="C493" s="40"/>
      <c r="D493" s="40"/>
      <c r="E493" s="40"/>
    </row>
    <row r="494" customFormat="false" ht="15" hidden="false" customHeight="false" outlineLevel="0" collapsed="false">
      <c r="C494" s="40"/>
      <c r="D494" s="40"/>
      <c r="E494" s="40"/>
    </row>
    <row r="495" customFormat="false" ht="15" hidden="false" customHeight="false" outlineLevel="0" collapsed="false">
      <c r="C495" s="40"/>
      <c r="D495" s="40"/>
      <c r="E495" s="40"/>
    </row>
    <row r="496" customFormat="false" ht="15" hidden="false" customHeight="false" outlineLevel="0" collapsed="false">
      <c r="C496" s="40"/>
      <c r="D496" s="40"/>
      <c r="E496" s="40"/>
    </row>
    <row r="497" customFormat="false" ht="15" hidden="false" customHeight="false" outlineLevel="0" collapsed="false">
      <c r="C497" s="40"/>
      <c r="D497" s="40"/>
      <c r="E497" s="40"/>
    </row>
    <row r="498" customFormat="false" ht="15" hidden="false" customHeight="false" outlineLevel="0" collapsed="false">
      <c r="C498" s="40"/>
      <c r="D498" s="40"/>
      <c r="E498" s="40"/>
    </row>
    <row r="499" customFormat="false" ht="15" hidden="false" customHeight="false" outlineLevel="0" collapsed="false">
      <c r="C499" s="40"/>
      <c r="D499" s="40"/>
      <c r="E499" s="40"/>
    </row>
    <row r="500" customFormat="false" ht="15" hidden="false" customHeight="false" outlineLevel="0" collapsed="false">
      <c r="C500" s="40"/>
      <c r="D500" s="40"/>
      <c r="E500" s="40"/>
    </row>
    <row r="501" customFormat="false" ht="15" hidden="false" customHeight="false" outlineLevel="0" collapsed="false">
      <c r="C501" s="40"/>
      <c r="D501" s="40"/>
      <c r="E501" s="40"/>
    </row>
    <row r="502" customFormat="false" ht="15" hidden="false" customHeight="false" outlineLevel="0" collapsed="false">
      <c r="C502" s="40"/>
      <c r="D502" s="40"/>
      <c r="E502" s="40"/>
    </row>
    <row r="503" customFormat="false" ht="15" hidden="false" customHeight="false" outlineLevel="0" collapsed="false">
      <c r="C503" s="40"/>
      <c r="D503" s="40"/>
      <c r="E503" s="40"/>
    </row>
    <row r="504" customFormat="false" ht="15" hidden="false" customHeight="false" outlineLevel="0" collapsed="false">
      <c r="C504" s="40"/>
      <c r="D504" s="40"/>
      <c r="E504" s="40"/>
    </row>
    <row r="505" customFormat="false" ht="15" hidden="false" customHeight="false" outlineLevel="0" collapsed="false">
      <c r="C505" s="40"/>
      <c r="D505" s="40"/>
      <c r="E505" s="40"/>
    </row>
    <row r="506" customFormat="false" ht="15" hidden="false" customHeight="false" outlineLevel="0" collapsed="false">
      <c r="C506" s="40"/>
      <c r="D506" s="40"/>
      <c r="E506" s="40"/>
    </row>
    <row r="507" customFormat="false" ht="15" hidden="false" customHeight="false" outlineLevel="0" collapsed="false">
      <c r="C507" s="40"/>
      <c r="D507" s="40"/>
      <c r="E507" s="40"/>
    </row>
    <row r="508" customFormat="false" ht="15" hidden="false" customHeight="false" outlineLevel="0" collapsed="false">
      <c r="C508" s="40"/>
      <c r="D508" s="40"/>
      <c r="E508" s="40"/>
    </row>
    <row r="509" customFormat="false" ht="15" hidden="false" customHeight="false" outlineLevel="0" collapsed="false">
      <c r="C509" s="40"/>
      <c r="D509" s="40"/>
      <c r="E509" s="40"/>
    </row>
    <row r="510" customFormat="false" ht="15" hidden="false" customHeight="false" outlineLevel="0" collapsed="false">
      <c r="C510" s="40"/>
      <c r="D510" s="40"/>
      <c r="E510" s="40"/>
    </row>
    <row r="511" customFormat="false" ht="15" hidden="false" customHeight="false" outlineLevel="0" collapsed="false">
      <c r="C511" s="40"/>
      <c r="D511" s="40"/>
      <c r="E511" s="40"/>
    </row>
    <row r="512" customFormat="false" ht="15" hidden="false" customHeight="false" outlineLevel="0" collapsed="false">
      <c r="C512" s="40"/>
      <c r="D512" s="40"/>
      <c r="E512" s="40"/>
    </row>
    <row r="513" customFormat="false" ht="15" hidden="false" customHeight="false" outlineLevel="0" collapsed="false">
      <c r="C513" s="40"/>
      <c r="D513" s="40"/>
      <c r="E513" s="40"/>
    </row>
    <row r="514" customFormat="false" ht="15" hidden="false" customHeight="false" outlineLevel="0" collapsed="false">
      <c r="C514" s="40"/>
      <c r="D514" s="40"/>
      <c r="E514" s="40"/>
    </row>
    <row r="515" customFormat="false" ht="15" hidden="false" customHeight="false" outlineLevel="0" collapsed="false">
      <c r="C515" s="40"/>
      <c r="D515" s="40"/>
      <c r="E515" s="40"/>
    </row>
    <row r="516" customFormat="false" ht="15" hidden="false" customHeight="false" outlineLevel="0" collapsed="false">
      <c r="C516" s="40"/>
      <c r="D516" s="40"/>
      <c r="E516" s="40"/>
    </row>
    <row r="517" customFormat="false" ht="15" hidden="false" customHeight="false" outlineLevel="0" collapsed="false">
      <c r="C517" s="40"/>
      <c r="D517" s="40"/>
      <c r="E517" s="40"/>
    </row>
    <row r="518" customFormat="false" ht="15" hidden="false" customHeight="false" outlineLevel="0" collapsed="false">
      <c r="C518" s="40"/>
      <c r="D518" s="40"/>
      <c r="E518" s="40"/>
    </row>
    <row r="519" customFormat="false" ht="15" hidden="false" customHeight="false" outlineLevel="0" collapsed="false">
      <c r="C519" s="40"/>
      <c r="D519" s="40"/>
      <c r="E519" s="40"/>
    </row>
    <row r="520" customFormat="false" ht="15" hidden="false" customHeight="false" outlineLevel="0" collapsed="false">
      <c r="C520" s="40"/>
      <c r="D520" s="40"/>
      <c r="E520" s="40"/>
    </row>
    <row r="521" customFormat="false" ht="15" hidden="false" customHeight="false" outlineLevel="0" collapsed="false">
      <c r="C521" s="40"/>
      <c r="D521" s="40"/>
      <c r="E521" s="40"/>
    </row>
    <row r="522" customFormat="false" ht="15" hidden="false" customHeight="false" outlineLevel="0" collapsed="false">
      <c r="C522" s="40"/>
      <c r="D522" s="40"/>
      <c r="E522" s="40"/>
    </row>
    <row r="523" customFormat="false" ht="15" hidden="false" customHeight="false" outlineLevel="0" collapsed="false">
      <c r="C523" s="40"/>
      <c r="D523" s="40"/>
      <c r="E523" s="40"/>
    </row>
    <row r="524" customFormat="false" ht="15" hidden="false" customHeight="false" outlineLevel="0" collapsed="false">
      <c r="C524" s="40"/>
      <c r="D524" s="40"/>
      <c r="E524" s="40"/>
    </row>
    <row r="525" customFormat="false" ht="15" hidden="false" customHeight="false" outlineLevel="0" collapsed="false">
      <c r="C525" s="40"/>
      <c r="D525" s="40"/>
      <c r="E525" s="40"/>
    </row>
    <row r="526" customFormat="false" ht="15" hidden="false" customHeight="false" outlineLevel="0" collapsed="false">
      <c r="C526" s="40"/>
      <c r="D526" s="40"/>
      <c r="E526" s="40"/>
    </row>
    <row r="527" customFormat="false" ht="15" hidden="false" customHeight="false" outlineLevel="0" collapsed="false">
      <c r="C527" s="40"/>
      <c r="D527" s="40"/>
      <c r="E527" s="40"/>
    </row>
    <row r="528" customFormat="false" ht="15" hidden="false" customHeight="false" outlineLevel="0" collapsed="false">
      <c r="C528" s="40"/>
      <c r="D528" s="40"/>
      <c r="E528" s="40"/>
    </row>
    <row r="529" customFormat="false" ht="15" hidden="false" customHeight="false" outlineLevel="0" collapsed="false">
      <c r="C529" s="40"/>
      <c r="D529" s="40"/>
      <c r="E529" s="40"/>
    </row>
    <row r="530" customFormat="false" ht="15" hidden="false" customHeight="false" outlineLevel="0" collapsed="false">
      <c r="C530" s="40"/>
      <c r="D530" s="40"/>
      <c r="E530" s="40"/>
    </row>
    <row r="531" customFormat="false" ht="15" hidden="false" customHeight="false" outlineLevel="0" collapsed="false">
      <c r="C531" s="40"/>
      <c r="D531" s="40"/>
      <c r="E531" s="40"/>
    </row>
    <row r="532" customFormat="false" ht="15" hidden="false" customHeight="false" outlineLevel="0" collapsed="false">
      <c r="C532" s="40"/>
      <c r="D532" s="40"/>
      <c r="E532" s="40"/>
    </row>
    <row r="533" customFormat="false" ht="15" hidden="false" customHeight="false" outlineLevel="0" collapsed="false">
      <c r="C533" s="40"/>
      <c r="D533" s="40"/>
      <c r="E533" s="40"/>
    </row>
    <row r="534" customFormat="false" ht="15" hidden="false" customHeight="false" outlineLevel="0" collapsed="false">
      <c r="C534" s="40"/>
      <c r="D534" s="40"/>
      <c r="E534" s="40"/>
    </row>
    <row r="535" customFormat="false" ht="15" hidden="false" customHeight="false" outlineLevel="0" collapsed="false">
      <c r="C535" s="40"/>
      <c r="D535" s="40"/>
      <c r="E535" s="40"/>
    </row>
    <row r="536" customFormat="false" ht="15" hidden="false" customHeight="false" outlineLevel="0" collapsed="false">
      <c r="C536" s="40"/>
      <c r="D536" s="40"/>
      <c r="E536" s="40"/>
    </row>
    <row r="537" customFormat="false" ht="15" hidden="false" customHeight="false" outlineLevel="0" collapsed="false">
      <c r="C537" s="40"/>
      <c r="D537" s="40"/>
      <c r="E537" s="40"/>
    </row>
    <row r="538" customFormat="false" ht="15" hidden="false" customHeight="false" outlineLevel="0" collapsed="false">
      <c r="C538" s="40"/>
      <c r="D538" s="40"/>
      <c r="E538" s="40"/>
    </row>
    <row r="539" customFormat="false" ht="15" hidden="false" customHeight="false" outlineLevel="0" collapsed="false">
      <c r="C539" s="40"/>
      <c r="D539" s="40"/>
      <c r="E539" s="40"/>
    </row>
    <row r="540" customFormat="false" ht="15" hidden="false" customHeight="false" outlineLevel="0" collapsed="false">
      <c r="C540" s="40"/>
      <c r="D540" s="40"/>
      <c r="E540" s="40"/>
    </row>
    <row r="541" customFormat="false" ht="15" hidden="false" customHeight="false" outlineLevel="0" collapsed="false">
      <c r="C541" s="40"/>
      <c r="D541" s="40"/>
      <c r="E541" s="40"/>
    </row>
    <row r="542" customFormat="false" ht="15" hidden="false" customHeight="false" outlineLevel="0" collapsed="false">
      <c r="C542" s="40"/>
      <c r="D542" s="40"/>
      <c r="E542" s="40"/>
    </row>
    <row r="543" customFormat="false" ht="15" hidden="false" customHeight="false" outlineLevel="0" collapsed="false">
      <c r="C543" s="40"/>
      <c r="D543" s="40"/>
      <c r="E543" s="40"/>
    </row>
    <row r="544" customFormat="false" ht="15" hidden="false" customHeight="false" outlineLevel="0" collapsed="false">
      <c r="C544" s="40"/>
      <c r="D544" s="40"/>
      <c r="E544" s="40"/>
    </row>
    <row r="545" customFormat="false" ht="15" hidden="false" customHeight="false" outlineLevel="0" collapsed="false">
      <c r="C545" s="40"/>
      <c r="D545" s="40"/>
      <c r="E545" s="40"/>
    </row>
    <row r="546" customFormat="false" ht="15" hidden="false" customHeight="false" outlineLevel="0" collapsed="false">
      <c r="C546" s="40"/>
      <c r="D546" s="40"/>
      <c r="E546" s="40"/>
    </row>
    <row r="547" customFormat="false" ht="15" hidden="false" customHeight="false" outlineLevel="0" collapsed="false">
      <c r="C547" s="40"/>
      <c r="D547" s="40"/>
      <c r="E547" s="40"/>
    </row>
    <row r="548" customFormat="false" ht="15" hidden="false" customHeight="false" outlineLevel="0" collapsed="false">
      <c r="C548" s="40"/>
      <c r="D548" s="40"/>
      <c r="E548" s="40"/>
    </row>
    <row r="549" customFormat="false" ht="15" hidden="false" customHeight="false" outlineLevel="0" collapsed="false">
      <c r="C549" s="40"/>
      <c r="D549" s="40"/>
      <c r="E549" s="40"/>
    </row>
    <row r="550" customFormat="false" ht="15" hidden="false" customHeight="false" outlineLevel="0" collapsed="false">
      <c r="C550" s="40"/>
      <c r="D550" s="40"/>
      <c r="E550" s="40"/>
    </row>
    <row r="551" customFormat="false" ht="15" hidden="false" customHeight="false" outlineLevel="0" collapsed="false">
      <c r="C551" s="40"/>
      <c r="D551" s="40"/>
      <c r="E551" s="40"/>
    </row>
    <row r="552" customFormat="false" ht="15" hidden="false" customHeight="false" outlineLevel="0" collapsed="false">
      <c r="C552" s="40"/>
      <c r="D552" s="40"/>
      <c r="E552" s="40"/>
    </row>
    <row r="553" customFormat="false" ht="15" hidden="false" customHeight="false" outlineLevel="0" collapsed="false">
      <c r="C553" s="40"/>
      <c r="D553" s="40"/>
      <c r="E553" s="40"/>
    </row>
    <row r="554" customFormat="false" ht="15" hidden="false" customHeight="false" outlineLevel="0" collapsed="false">
      <c r="C554" s="40"/>
      <c r="D554" s="40"/>
      <c r="E554" s="40"/>
    </row>
    <row r="555" customFormat="false" ht="15" hidden="false" customHeight="false" outlineLevel="0" collapsed="false">
      <c r="C555" s="40"/>
      <c r="D555" s="40"/>
      <c r="E555" s="40"/>
    </row>
    <row r="556" customFormat="false" ht="15" hidden="false" customHeight="false" outlineLevel="0" collapsed="false">
      <c r="C556" s="40"/>
      <c r="D556" s="40"/>
      <c r="E556" s="40"/>
    </row>
    <row r="557" customFormat="false" ht="15" hidden="false" customHeight="false" outlineLevel="0" collapsed="false">
      <c r="C557" s="40"/>
      <c r="D557" s="40"/>
      <c r="E557" s="40"/>
    </row>
    <row r="558" customFormat="false" ht="15" hidden="false" customHeight="false" outlineLevel="0" collapsed="false">
      <c r="C558" s="40"/>
      <c r="D558" s="40"/>
      <c r="E558" s="40"/>
    </row>
    <row r="559" customFormat="false" ht="15" hidden="false" customHeight="false" outlineLevel="0" collapsed="false">
      <c r="C559" s="40"/>
      <c r="D559" s="40"/>
      <c r="E559" s="40"/>
    </row>
    <row r="560" customFormat="false" ht="15" hidden="false" customHeight="false" outlineLevel="0" collapsed="false">
      <c r="C560" s="40"/>
      <c r="D560" s="40"/>
      <c r="E560" s="40"/>
    </row>
    <row r="561" customFormat="false" ht="15" hidden="false" customHeight="false" outlineLevel="0" collapsed="false">
      <c r="C561" s="40"/>
      <c r="D561" s="40"/>
      <c r="E561" s="40"/>
    </row>
    <row r="562" customFormat="false" ht="15" hidden="false" customHeight="false" outlineLevel="0" collapsed="false">
      <c r="C562" s="40"/>
      <c r="D562" s="40"/>
      <c r="E562" s="40"/>
    </row>
    <row r="563" customFormat="false" ht="15" hidden="false" customHeight="false" outlineLevel="0" collapsed="false">
      <c r="C563" s="40"/>
      <c r="D563" s="40"/>
      <c r="E563" s="40"/>
    </row>
    <row r="564" customFormat="false" ht="15" hidden="false" customHeight="false" outlineLevel="0" collapsed="false">
      <c r="C564" s="40"/>
      <c r="D564" s="40"/>
      <c r="E564" s="40"/>
    </row>
    <row r="565" customFormat="false" ht="15" hidden="false" customHeight="false" outlineLevel="0" collapsed="false">
      <c r="C565" s="40"/>
      <c r="D565" s="40"/>
      <c r="E565" s="40"/>
    </row>
    <row r="566" customFormat="false" ht="15" hidden="false" customHeight="false" outlineLevel="0" collapsed="false">
      <c r="C566" s="40"/>
      <c r="D566" s="40"/>
      <c r="E566" s="40"/>
    </row>
    <row r="567" customFormat="false" ht="15" hidden="false" customHeight="false" outlineLevel="0" collapsed="false">
      <c r="C567" s="40"/>
      <c r="D567" s="40"/>
      <c r="E567" s="40"/>
    </row>
    <row r="568" customFormat="false" ht="15" hidden="false" customHeight="false" outlineLevel="0" collapsed="false">
      <c r="C568" s="40"/>
      <c r="D568" s="40"/>
      <c r="E568" s="40"/>
    </row>
    <row r="569" customFormat="false" ht="15" hidden="false" customHeight="false" outlineLevel="0" collapsed="false">
      <c r="C569" s="40"/>
      <c r="D569" s="40"/>
      <c r="E569" s="40"/>
    </row>
    <row r="570" customFormat="false" ht="15" hidden="false" customHeight="false" outlineLevel="0" collapsed="false">
      <c r="C570" s="40"/>
      <c r="D570" s="40"/>
      <c r="E570" s="40"/>
    </row>
    <row r="571" customFormat="false" ht="15" hidden="false" customHeight="false" outlineLevel="0" collapsed="false">
      <c r="C571" s="40"/>
      <c r="D571" s="40"/>
      <c r="E571" s="40"/>
    </row>
    <row r="572" customFormat="false" ht="15" hidden="false" customHeight="false" outlineLevel="0" collapsed="false">
      <c r="C572" s="40"/>
      <c r="D572" s="40"/>
      <c r="E572" s="40"/>
    </row>
    <row r="573" customFormat="false" ht="15" hidden="false" customHeight="false" outlineLevel="0" collapsed="false">
      <c r="C573" s="40"/>
      <c r="D573" s="40"/>
      <c r="E573" s="40"/>
    </row>
    <row r="574" customFormat="false" ht="15" hidden="false" customHeight="false" outlineLevel="0" collapsed="false">
      <c r="C574" s="40"/>
      <c r="D574" s="40"/>
      <c r="E574" s="40"/>
    </row>
    <row r="575" customFormat="false" ht="15" hidden="false" customHeight="false" outlineLevel="0" collapsed="false">
      <c r="C575" s="40"/>
      <c r="D575" s="40"/>
      <c r="E575" s="40"/>
    </row>
    <row r="576" customFormat="false" ht="15" hidden="false" customHeight="false" outlineLevel="0" collapsed="false">
      <c r="C576" s="40"/>
      <c r="D576" s="40"/>
      <c r="E576" s="40"/>
    </row>
    <row r="577" customFormat="false" ht="15" hidden="false" customHeight="false" outlineLevel="0" collapsed="false">
      <c r="C577" s="40"/>
      <c r="D577" s="40"/>
      <c r="E577" s="40"/>
    </row>
    <row r="578" customFormat="false" ht="15" hidden="false" customHeight="false" outlineLevel="0" collapsed="false">
      <c r="C578" s="40"/>
      <c r="D578" s="40"/>
      <c r="E578" s="40"/>
    </row>
    <row r="579" customFormat="false" ht="15" hidden="false" customHeight="false" outlineLevel="0" collapsed="false">
      <c r="C579" s="40"/>
      <c r="D579" s="40"/>
      <c r="E579" s="40"/>
    </row>
    <row r="580" customFormat="false" ht="15" hidden="false" customHeight="false" outlineLevel="0" collapsed="false">
      <c r="C580" s="40"/>
      <c r="D580" s="40"/>
      <c r="E580" s="40"/>
    </row>
    <row r="581" customFormat="false" ht="15" hidden="false" customHeight="false" outlineLevel="0" collapsed="false">
      <c r="C581" s="40"/>
      <c r="D581" s="40"/>
      <c r="E581" s="40"/>
    </row>
    <row r="582" customFormat="false" ht="15" hidden="false" customHeight="false" outlineLevel="0" collapsed="false">
      <c r="C582" s="40"/>
      <c r="D582" s="40"/>
      <c r="E582" s="40"/>
    </row>
    <row r="583" customFormat="false" ht="15" hidden="false" customHeight="false" outlineLevel="0" collapsed="false">
      <c r="C583" s="40"/>
      <c r="D583" s="40"/>
      <c r="E583" s="40"/>
    </row>
    <row r="584" customFormat="false" ht="15" hidden="false" customHeight="false" outlineLevel="0" collapsed="false">
      <c r="C584" s="40"/>
      <c r="D584" s="40"/>
      <c r="E584" s="40"/>
    </row>
    <row r="585" customFormat="false" ht="15" hidden="false" customHeight="false" outlineLevel="0" collapsed="false">
      <c r="C585" s="40"/>
      <c r="D585" s="40"/>
      <c r="E585" s="40"/>
    </row>
    <row r="586" customFormat="false" ht="15" hidden="false" customHeight="false" outlineLevel="0" collapsed="false">
      <c r="C586" s="40"/>
      <c r="D586" s="40"/>
      <c r="E586" s="40"/>
    </row>
    <row r="587" customFormat="false" ht="15" hidden="false" customHeight="false" outlineLevel="0" collapsed="false">
      <c r="C587" s="40"/>
      <c r="D587" s="40"/>
      <c r="E587" s="40"/>
    </row>
    <row r="588" customFormat="false" ht="15" hidden="false" customHeight="false" outlineLevel="0" collapsed="false">
      <c r="C588" s="40"/>
      <c r="D588" s="40"/>
      <c r="E588" s="40"/>
    </row>
    <row r="589" customFormat="false" ht="15" hidden="false" customHeight="false" outlineLevel="0" collapsed="false">
      <c r="C589" s="40"/>
      <c r="D589" s="40"/>
      <c r="E589" s="40"/>
    </row>
    <row r="590" customFormat="false" ht="15" hidden="false" customHeight="false" outlineLevel="0" collapsed="false">
      <c r="C590" s="40"/>
      <c r="D590" s="40"/>
      <c r="E590" s="40"/>
    </row>
    <row r="591" customFormat="false" ht="15" hidden="false" customHeight="false" outlineLevel="0" collapsed="false">
      <c r="C591" s="40"/>
      <c r="D591" s="40"/>
      <c r="E591" s="40"/>
    </row>
    <row r="592" customFormat="false" ht="15" hidden="false" customHeight="false" outlineLevel="0" collapsed="false">
      <c r="C592" s="40"/>
      <c r="D592" s="40"/>
      <c r="E592" s="40"/>
    </row>
    <row r="593" customFormat="false" ht="15" hidden="false" customHeight="false" outlineLevel="0" collapsed="false">
      <c r="C593" s="40"/>
      <c r="D593" s="40"/>
      <c r="E593" s="40"/>
    </row>
    <row r="594" customFormat="false" ht="15" hidden="false" customHeight="false" outlineLevel="0" collapsed="false">
      <c r="C594" s="40"/>
      <c r="D594" s="40"/>
      <c r="E594" s="40"/>
    </row>
    <row r="595" customFormat="false" ht="15" hidden="false" customHeight="false" outlineLevel="0" collapsed="false">
      <c r="C595" s="40"/>
      <c r="D595" s="40"/>
      <c r="E595" s="40"/>
    </row>
    <row r="596" customFormat="false" ht="15" hidden="false" customHeight="false" outlineLevel="0" collapsed="false">
      <c r="C596" s="40"/>
      <c r="D596" s="40"/>
      <c r="E596" s="40"/>
    </row>
    <row r="597" customFormat="false" ht="15" hidden="false" customHeight="false" outlineLevel="0" collapsed="false">
      <c r="C597" s="40"/>
      <c r="D597" s="40"/>
      <c r="E597" s="40"/>
    </row>
    <row r="598" customFormat="false" ht="15" hidden="false" customHeight="false" outlineLevel="0" collapsed="false">
      <c r="C598" s="40"/>
      <c r="D598" s="40"/>
      <c r="E598" s="40"/>
    </row>
    <row r="599" customFormat="false" ht="15" hidden="false" customHeight="false" outlineLevel="0" collapsed="false">
      <c r="C599" s="40"/>
      <c r="D599" s="40"/>
      <c r="E599" s="40"/>
    </row>
    <row r="600" customFormat="false" ht="15" hidden="false" customHeight="false" outlineLevel="0" collapsed="false">
      <c r="C600" s="40"/>
      <c r="D600" s="40"/>
      <c r="E600" s="40"/>
    </row>
    <row r="601" customFormat="false" ht="15" hidden="false" customHeight="false" outlineLevel="0" collapsed="false">
      <c r="C601" s="40"/>
      <c r="D601" s="40"/>
      <c r="E601" s="40"/>
    </row>
    <row r="602" customFormat="false" ht="15" hidden="false" customHeight="false" outlineLevel="0" collapsed="false">
      <c r="C602" s="40"/>
      <c r="D602" s="40"/>
      <c r="E602" s="40"/>
    </row>
    <row r="603" customFormat="false" ht="15" hidden="false" customHeight="false" outlineLevel="0" collapsed="false">
      <c r="C603" s="40"/>
      <c r="D603" s="40"/>
      <c r="E603" s="40"/>
    </row>
    <row r="604" customFormat="false" ht="15" hidden="false" customHeight="false" outlineLevel="0" collapsed="false">
      <c r="C604" s="40"/>
      <c r="D604" s="40"/>
      <c r="E604" s="40"/>
    </row>
    <row r="605" customFormat="false" ht="15" hidden="false" customHeight="false" outlineLevel="0" collapsed="false">
      <c r="C605" s="40"/>
      <c r="D605" s="40"/>
      <c r="E605" s="40"/>
    </row>
    <row r="606" customFormat="false" ht="15" hidden="false" customHeight="false" outlineLevel="0" collapsed="false">
      <c r="C606" s="40"/>
      <c r="D606" s="40"/>
      <c r="E606" s="40"/>
    </row>
    <row r="607" customFormat="false" ht="15" hidden="false" customHeight="false" outlineLevel="0" collapsed="false">
      <c r="C607" s="40"/>
      <c r="D607" s="40"/>
      <c r="E607" s="40"/>
    </row>
    <row r="608" customFormat="false" ht="15" hidden="false" customHeight="false" outlineLevel="0" collapsed="false">
      <c r="C608" s="40"/>
      <c r="D608" s="40"/>
      <c r="E608" s="40"/>
    </row>
    <row r="609" customFormat="false" ht="15" hidden="false" customHeight="false" outlineLevel="0" collapsed="false">
      <c r="C609" s="40"/>
      <c r="D609" s="40"/>
      <c r="E609" s="40"/>
    </row>
    <row r="610" customFormat="false" ht="15" hidden="false" customHeight="false" outlineLevel="0" collapsed="false">
      <c r="C610" s="40"/>
      <c r="D610" s="40"/>
      <c r="E610" s="40"/>
    </row>
    <row r="611" customFormat="false" ht="15" hidden="false" customHeight="false" outlineLevel="0" collapsed="false">
      <c r="C611" s="40"/>
      <c r="D611" s="40"/>
      <c r="E611" s="40"/>
    </row>
    <row r="612" customFormat="false" ht="15" hidden="false" customHeight="false" outlineLevel="0" collapsed="false">
      <c r="C612" s="40"/>
      <c r="D612" s="40"/>
      <c r="E612" s="40"/>
    </row>
    <row r="613" customFormat="false" ht="15" hidden="false" customHeight="false" outlineLevel="0" collapsed="false">
      <c r="C613" s="40"/>
      <c r="D613" s="40"/>
      <c r="E613" s="40"/>
    </row>
    <row r="614" customFormat="false" ht="15" hidden="false" customHeight="false" outlineLevel="0" collapsed="false">
      <c r="C614" s="40"/>
      <c r="D614" s="40"/>
      <c r="E614" s="40"/>
    </row>
    <row r="615" customFormat="false" ht="15" hidden="false" customHeight="false" outlineLevel="0" collapsed="false">
      <c r="C615" s="40"/>
      <c r="D615" s="40"/>
      <c r="E615" s="40"/>
    </row>
    <row r="616" customFormat="false" ht="15" hidden="false" customHeight="false" outlineLevel="0" collapsed="false">
      <c r="C616" s="40"/>
      <c r="D616" s="40"/>
      <c r="E616" s="40"/>
    </row>
    <row r="617" customFormat="false" ht="15" hidden="false" customHeight="false" outlineLevel="0" collapsed="false">
      <c r="C617" s="40"/>
      <c r="D617" s="40"/>
      <c r="E617" s="40"/>
    </row>
    <row r="618" customFormat="false" ht="15" hidden="false" customHeight="false" outlineLevel="0" collapsed="false">
      <c r="C618" s="40"/>
      <c r="D618" s="40"/>
      <c r="E618" s="40"/>
    </row>
    <row r="619" customFormat="false" ht="15" hidden="false" customHeight="false" outlineLevel="0" collapsed="false">
      <c r="C619" s="40"/>
      <c r="D619" s="40"/>
      <c r="E619" s="40"/>
    </row>
    <row r="620" customFormat="false" ht="15" hidden="false" customHeight="false" outlineLevel="0" collapsed="false">
      <c r="C620" s="40"/>
      <c r="D620" s="40"/>
      <c r="E620" s="40"/>
    </row>
    <row r="621" customFormat="false" ht="15" hidden="false" customHeight="false" outlineLevel="0" collapsed="false">
      <c r="C621" s="40"/>
      <c r="D621" s="40"/>
      <c r="E621" s="40"/>
    </row>
    <row r="622" customFormat="false" ht="15" hidden="false" customHeight="false" outlineLevel="0" collapsed="false">
      <c r="C622" s="40"/>
      <c r="D622" s="40"/>
      <c r="E622" s="40"/>
    </row>
    <row r="623" customFormat="false" ht="15" hidden="false" customHeight="false" outlineLevel="0" collapsed="false">
      <c r="C623" s="40"/>
      <c r="D623" s="40"/>
      <c r="E623" s="40"/>
    </row>
    <row r="624" customFormat="false" ht="15" hidden="false" customHeight="false" outlineLevel="0" collapsed="false">
      <c r="C624" s="40"/>
      <c r="D624" s="40"/>
      <c r="E624" s="40"/>
    </row>
    <row r="625" customFormat="false" ht="15" hidden="false" customHeight="false" outlineLevel="0" collapsed="false">
      <c r="C625" s="40"/>
      <c r="D625" s="40"/>
      <c r="E625" s="40"/>
    </row>
    <row r="626" customFormat="false" ht="15" hidden="false" customHeight="false" outlineLevel="0" collapsed="false">
      <c r="C626" s="40"/>
      <c r="D626" s="40"/>
      <c r="E626" s="40"/>
    </row>
    <row r="627" customFormat="false" ht="15" hidden="false" customHeight="false" outlineLevel="0" collapsed="false">
      <c r="C627" s="40"/>
      <c r="D627" s="40"/>
      <c r="E627" s="40"/>
    </row>
    <row r="628" customFormat="false" ht="15" hidden="false" customHeight="false" outlineLevel="0" collapsed="false">
      <c r="C628" s="40"/>
      <c r="D628" s="40"/>
      <c r="E628" s="40"/>
    </row>
    <row r="629" customFormat="false" ht="15" hidden="false" customHeight="false" outlineLevel="0" collapsed="false">
      <c r="C629" s="40"/>
      <c r="D629" s="40"/>
      <c r="E629" s="40"/>
    </row>
    <row r="630" customFormat="false" ht="15" hidden="false" customHeight="false" outlineLevel="0" collapsed="false">
      <c r="C630" s="40"/>
      <c r="D630" s="40"/>
      <c r="E630" s="40"/>
    </row>
    <row r="631" customFormat="false" ht="15" hidden="false" customHeight="false" outlineLevel="0" collapsed="false">
      <c r="C631" s="40"/>
      <c r="D631" s="40"/>
      <c r="E631" s="40"/>
    </row>
    <row r="632" customFormat="false" ht="15" hidden="false" customHeight="false" outlineLevel="0" collapsed="false">
      <c r="C632" s="40"/>
      <c r="D632" s="40"/>
      <c r="E632" s="40"/>
    </row>
    <row r="633" customFormat="false" ht="15" hidden="false" customHeight="false" outlineLevel="0" collapsed="false">
      <c r="C633" s="40"/>
      <c r="D633" s="40"/>
      <c r="E633" s="40"/>
    </row>
    <row r="634" customFormat="false" ht="15" hidden="false" customHeight="false" outlineLevel="0" collapsed="false">
      <c r="C634" s="40"/>
      <c r="D634" s="40"/>
      <c r="E634" s="40"/>
    </row>
    <row r="635" customFormat="false" ht="15" hidden="false" customHeight="false" outlineLevel="0" collapsed="false">
      <c r="C635" s="40"/>
      <c r="D635" s="40"/>
      <c r="E635" s="40"/>
    </row>
    <row r="636" customFormat="false" ht="15" hidden="false" customHeight="false" outlineLevel="0" collapsed="false">
      <c r="C636" s="40"/>
      <c r="D636" s="40"/>
      <c r="E636" s="40"/>
    </row>
    <row r="637" customFormat="false" ht="15" hidden="false" customHeight="false" outlineLevel="0" collapsed="false">
      <c r="C637" s="40"/>
      <c r="D637" s="40"/>
      <c r="E637" s="40"/>
    </row>
    <row r="638" customFormat="false" ht="15" hidden="false" customHeight="false" outlineLevel="0" collapsed="false">
      <c r="C638" s="40"/>
      <c r="D638" s="40"/>
      <c r="E638" s="40"/>
    </row>
    <row r="639" customFormat="false" ht="15" hidden="false" customHeight="false" outlineLevel="0" collapsed="false">
      <c r="C639" s="40"/>
      <c r="D639" s="40"/>
      <c r="E639" s="40"/>
    </row>
    <row r="640" customFormat="false" ht="15" hidden="false" customHeight="false" outlineLevel="0" collapsed="false">
      <c r="C640" s="40"/>
      <c r="D640" s="40"/>
      <c r="E640" s="40"/>
    </row>
    <row r="641" customFormat="false" ht="15" hidden="false" customHeight="false" outlineLevel="0" collapsed="false">
      <c r="C641" s="40"/>
      <c r="D641" s="40"/>
      <c r="E641" s="40"/>
    </row>
    <row r="642" customFormat="false" ht="15" hidden="false" customHeight="false" outlineLevel="0" collapsed="false">
      <c r="C642" s="40"/>
      <c r="D642" s="40"/>
      <c r="E642" s="40"/>
    </row>
    <row r="643" customFormat="false" ht="15" hidden="false" customHeight="false" outlineLevel="0" collapsed="false">
      <c r="C643" s="40"/>
      <c r="D643" s="40"/>
      <c r="E643" s="40"/>
    </row>
    <row r="644" customFormat="false" ht="15" hidden="false" customHeight="false" outlineLevel="0" collapsed="false">
      <c r="C644" s="40"/>
      <c r="D644" s="40"/>
      <c r="E644" s="40"/>
    </row>
    <row r="645" customFormat="false" ht="15" hidden="false" customHeight="false" outlineLevel="0" collapsed="false">
      <c r="C645" s="40"/>
      <c r="D645" s="40"/>
      <c r="E645" s="40"/>
    </row>
    <row r="646" customFormat="false" ht="15" hidden="false" customHeight="false" outlineLevel="0" collapsed="false">
      <c r="C646" s="40"/>
      <c r="D646" s="40"/>
      <c r="E646" s="40"/>
    </row>
    <row r="647" customFormat="false" ht="15" hidden="false" customHeight="false" outlineLevel="0" collapsed="false">
      <c r="C647" s="40"/>
      <c r="D647" s="40"/>
      <c r="E647" s="40"/>
    </row>
    <row r="648" customFormat="false" ht="15" hidden="false" customHeight="false" outlineLevel="0" collapsed="false">
      <c r="C648" s="40"/>
      <c r="D648" s="40"/>
      <c r="E648" s="40"/>
    </row>
    <row r="649" customFormat="false" ht="15" hidden="false" customHeight="false" outlineLevel="0" collapsed="false">
      <c r="C649" s="40"/>
      <c r="D649" s="40"/>
      <c r="E649" s="40"/>
    </row>
    <row r="650" customFormat="false" ht="15" hidden="false" customHeight="false" outlineLevel="0" collapsed="false">
      <c r="C650" s="40"/>
      <c r="D650" s="40"/>
      <c r="E650" s="40"/>
    </row>
    <row r="651" customFormat="false" ht="15" hidden="false" customHeight="false" outlineLevel="0" collapsed="false">
      <c r="C651" s="40"/>
      <c r="D651" s="40"/>
      <c r="E651" s="40"/>
    </row>
    <row r="652" customFormat="false" ht="15" hidden="false" customHeight="false" outlineLevel="0" collapsed="false">
      <c r="C652" s="40"/>
      <c r="D652" s="40"/>
      <c r="E652" s="40"/>
    </row>
    <row r="653" customFormat="false" ht="15" hidden="false" customHeight="false" outlineLevel="0" collapsed="false">
      <c r="C653" s="40"/>
      <c r="D653" s="40"/>
      <c r="E653" s="40"/>
    </row>
    <row r="654" customFormat="false" ht="15" hidden="false" customHeight="false" outlineLevel="0" collapsed="false">
      <c r="C654" s="40"/>
      <c r="D654" s="40"/>
      <c r="E654" s="40"/>
    </row>
    <row r="655" customFormat="false" ht="15" hidden="false" customHeight="false" outlineLevel="0" collapsed="false">
      <c r="C655" s="40"/>
      <c r="D655" s="40"/>
      <c r="E655" s="40"/>
    </row>
    <row r="656" customFormat="false" ht="15" hidden="false" customHeight="false" outlineLevel="0" collapsed="false">
      <c r="C656" s="40"/>
      <c r="D656" s="40"/>
      <c r="E656" s="40"/>
    </row>
    <row r="657" customFormat="false" ht="15" hidden="false" customHeight="false" outlineLevel="0" collapsed="false">
      <c r="C657" s="40"/>
      <c r="D657" s="40"/>
      <c r="E657" s="40"/>
    </row>
    <row r="658" customFormat="false" ht="15" hidden="false" customHeight="false" outlineLevel="0" collapsed="false">
      <c r="C658" s="40"/>
      <c r="D658" s="40"/>
      <c r="E658" s="40"/>
    </row>
    <row r="659" customFormat="false" ht="15" hidden="false" customHeight="false" outlineLevel="0" collapsed="false">
      <c r="C659" s="40"/>
      <c r="D659" s="40"/>
      <c r="E659" s="40"/>
    </row>
    <row r="660" customFormat="false" ht="15" hidden="false" customHeight="false" outlineLevel="0" collapsed="false">
      <c r="C660" s="40"/>
      <c r="D660" s="40"/>
      <c r="E660" s="40"/>
    </row>
    <row r="661" customFormat="false" ht="15" hidden="false" customHeight="false" outlineLevel="0" collapsed="false">
      <c r="C661" s="40"/>
      <c r="D661" s="40"/>
      <c r="E661" s="40"/>
    </row>
    <row r="662" customFormat="false" ht="15" hidden="false" customHeight="false" outlineLevel="0" collapsed="false">
      <c r="C662" s="40"/>
      <c r="D662" s="40"/>
      <c r="E662" s="40"/>
    </row>
    <row r="663" customFormat="false" ht="15" hidden="false" customHeight="false" outlineLevel="0" collapsed="false">
      <c r="C663" s="40"/>
      <c r="D663" s="40"/>
      <c r="E663" s="40"/>
    </row>
    <row r="664" customFormat="false" ht="15" hidden="false" customHeight="false" outlineLevel="0" collapsed="false">
      <c r="C664" s="40"/>
      <c r="D664" s="40"/>
      <c r="E664" s="40"/>
    </row>
    <row r="665" customFormat="false" ht="15" hidden="false" customHeight="false" outlineLevel="0" collapsed="false">
      <c r="C665" s="40"/>
      <c r="D665" s="40"/>
      <c r="E665" s="40"/>
    </row>
    <row r="666" customFormat="false" ht="15" hidden="false" customHeight="false" outlineLevel="0" collapsed="false">
      <c r="C666" s="40"/>
      <c r="D666" s="40"/>
      <c r="E666" s="40"/>
    </row>
    <row r="667" customFormat="false" ht="15" hidden="false" customHeight="false" outlineLevel="0" collapsed="false">
      <c r="C667" s="40"/>
      <c r="D667" s="40"/>
      <c r="E667" s="40"/>
    </row>
    <row r="668" customFormat="false" ht="15" hidden="false" customHeight="false" outlineLevel="0" collapsed="false">
      <c r="C668" s="40"/>
      <c r="D668" s="40"/>
      <c r="E668" s="40"/>
    </row>
    <row r="669" customFormat="false" ht="15" hidden="false" customHeight="false" outlineLevel="0" collapsed="false">
      <c r="C669" s="40"/>
      <c r="D669" s="40"/>
      <c r="E669" s="40"/>
    </row>
    <row r="670" customFormat="false" ht="15" hidden="false" customHeight="false" outlineLevel="0" collapsed="false">
      <c r="C670" s="40"/>
      <c r="D670" s="40"/>
      <c r="E670" s="40"/>
    </row>
    <row r="671" customFormat="false" ht="15" hidden="false" customHeight="false" outlineLevel="0" collapsed="false">
      <c r="C671" s="40"/>
      <c r="D671" s="40"/>
      <c r="E671" s="40"/>
    </row>
    <row r="672" customFormat="false" ht="15" hidden="false" customHeight="false" outlineLevel="0" collapsed="false">
      <c r="C672" s="40"/>
      <c r="D672" s="40"/>
      <c r="E672" s="40"/>
    </row>
    <row r="673" customFormat="false" ht="15" hidden="false" customHeight="false" outlineLevel="0" collapsed="false">
      <c r="C673" s="40"/>
      <c r="D673" s="40"/>
      <c r="E673" s="40"/>
    </row>
    <row r="674" customFormat="false" ht="15" hidden="false" customHeight="false" outlineLevel="0" collapsed="false">
      <c r="C674" s="40"/>
      <c r="D674" s="40"/>
      <c r="E674" s="40"/>
    </row>
    <row r="675" customFormat="false" ht="15" hidden="false" customHeight="false" outlineLevel="0" collapsed="false">
      <c r="C675" s="40"/>
      <c r="D675" s="40"/>
      <c r="E675" s="40"/>
    </row>
    <row r="676" customFormat="false" ht="15" hidden="false" customHeight="false" outlineLevel="0" collapsed="false">
      <c r="C676" s="40"/>
      <c r="D676" s="40"/>
      <c r="E676" s="40"/>
    </row>
    <row r="677" customFormat="false" ht="15" hidden="false" customHeight="false" outlineLevel="0" collapsed="false">
      <c r="C677" s="40"/>
      <c r="D677" s="40"/>
      <c r="E677" s="40"/>
    </row>
    <row r="678" customFormat="false" ht="15" hidden="false" customHeight="false" outlineLevel="0" collapsed="false">
      <c r="C678" s="40"/>
      <c r="D678" s="40"/>
      <c r="E678" s="40"/>
    </row>
    <row r="679" customFormat="false" ht="15" hidden="false" customHeight="false" outlineLevel="0" collapsed="false">
      <c r="C679" s="40"/>
      <c r="D679" s="40"/>
      <c r="E679" s="40"/>
    </row>
    <row r="680" customFormat="false" ht="15" hidden="false" customHeight="false" outlineLevel="0" collapsed="false">
      <c r="C680" s="40"/>
      <c r="D680" s="40"/>
      <c r="E680" s="40"/>
    </row>
    <row r="681" customFormat="false" ht="15" hidden="false" customHeight="false" outlineLevel="0" collapsed="false">
      <c r="C681" s="40"/>
      <c r="D681" s="40"/>
      <c r="E681" s="40"/>
    </row>
    <row r="682" customFormat="false" ht="15" hidden="false" customHeight="false" outlineLevel="0" collapsed="false">
      <c r="C682" s="40"/>
      <c r="D682" s="40"/>
      <c r="E682" s="40"/>
    </row>
    <row r="683" customFormat="false" ht="15" hidden="false" customHeight="false" outlineLevel="0" collapsed="false">
      <c r="C683" s="40"/>
      <c r="D683" s="40"/>
      <c r="E683" s="40"/>
    </row>
    <row r="684" customFormat="false" ht="15" hidden="false" customHeight="false" outlineLevel="0" collapsed="false">
      <c r="C684" s="40"/>
      <c r="D684" s="40"/>
      <c r="E684" s="40"/>
    </row>
    <row r="685" customFormat="false" ht="15" hidden="false" customHeight="false" outlineLevel="0" collapsed="false">
      <c r="C685" s="40"/>
      <c r="D685" s="40"/>
      <c r="E685" s="40"/>
    </row>
    <row r="686" customFormat="false" ht="15" hidden="false" customHeight="false" outlineLevel="0" collapsed="false">
      <c r="C686" s="40"/>
      <c r="D686" s="40"/>
      <c r="E686" s="40"/>
    </row>
    <row r="687" customFormat="false" ht="15" hidden="false" customHeight="false" outlineLevel="0" collapsed="false">
      <c r="C687" s="40"/>
      <c r="D687" s="40"/>
      <c r="E687" s="40"/>
    </row>
    <row r="688" customFormat="false" ht="15" hidden="false" customHeight="false" outlineLevel="0" collapsed="false">
      <c r="C688" s="40"/>
      <c r="D688" s="40"/>
      <c r="E688" s="40"/>
    </row>
    <row r="689" customFormat="false" ht="15" hidden="false" customHeight="false" outlineLevel="0" collapsed="false">
      <c r="C689" s="40"/>
      <c r="D689" s="40"/>
      <c r="E689" s="40"/>
    </row>
    <row r="690" customFormat="false" ht="15" hidden="false" customHeight="false" outlineLevel="0" collapsed="false">
      <c r="C690" s="40"/>
      <c r="D690" s="40"/>
      <c r="E690" s="40"/>
    </row>
    <row r="691" customFormat="false" ht="15" hidden="false" customHeight="false" outlineLevel="0" collapsed="false">
      <c r="C691" s="40"/>
      <c r="D691" s="40"/>
      <c r="E691" s="40"/>
    </row>
    <row r="692" customFormat="false" ht="15" hidden="false" customHeight="false" outlineLevel="0" collapsed="false">
      <c r="C692" s="40"/>
      <c r="D692" s="40"/>
      <c r="E692" s="40"/>
    </row>
    <row r="693" customFormat="false" ht="15" hidden="false" customHeight="false" outlineLevel="0" collapsed="false">
      <c r="C693" s="40"/>
      <c r="D693" s="40"/>
      <c r="E693" s="40"/>
    </row>
    <row r="694" customFormat="false" ht="15" hidden="false" customHeight="false" outlineLevel="0" collapsed="false">
      <c r="C694" s="40"/>
      <c r="D694" s="40"/>
      <c r="E694" s="40"/>
    </row>
    <row r="695" customFormat="false" ht="15" hidden="false" customHeight="false" outlineLevel="0" collapsed="false">
      <c r="C695" s="40"/>
      <c r="D695" s="40"/>
      <c r="E695" s="40"/>
    </row>
    <row r="696" customFormat="false" ht="15" hidden="false" customHeight="false" outlineLevel="0" collapsed="false">
      <c r="C696" s="40"/>
      <c r="D696" s="40"/>
      <c r="E696" s="40"/>
    </row>
    <row r="697" customFormat="false" ht="15" hidden="false" customHeight="false" outlineLevel="0" collapsed="false">
      <c r="C697" s="40"/>
      <c r="D697" s="40"/>
      <c r="E697" s="40"/>
    </row>
    <row r="698" customFormat="false" ht="15" hidden="false" customHeight="false" outlineLevel="0" collapsed="false">
      <c r="C698" s="40"/>
      <c r="D698" s="40"/>
      <c r="E698" s="40"/>
    </row>
    <row r="699" customFormat="false" ht="15" hidden="false" customHeight="false" outlineLevel="0" collapsed="false">
      <c r="C699" s="40"/>
      <c r="D699" s="40"/>
      <c r="E699" s="40"/>
    </row>
    <row r="700" customFormat="false" ht="15" hidden="false" customHeight="false" outlineLevel="0" collapsed="false">
      <c r="C700" s="40"/>
      <c r="D700" s="40"/>
      <c r="E700" s="40"/>
    </row>
    <row r="701" customFormat="false" ht="15" hidden="false" customHeight="false" outlineLevel="0" collapsed="false">
      <c r="C701" s="40"/>
      <c r="D701" s="40"/>
      <c r="E701" s="40"/>
    </row>
    <row r="702" customFormat="false" ht="15" hidden="false" customHeight="false" outlineLevel="0" collapsed="false">
      <c r="C702" s="40"/>
      <c r="D702" s="40"/>
      <c r="E702" s="40"/>
    </row>
    <row r="703" customFormat="false" ht="15" hidden="false" customHeight="false" outlineLevel="0" collapsed="false">
      <c r="C703" s="40"/>
      <c r="D703" s="40"/>
      <c r="E703" s="40"/>
    </row>
    <row r="704" customFormat="false" ht="15" hidden="false" customHeight="false" outlineLevel="0" collapsed="false">
      <c r="C704" s="40"/>
      <c r="D704" s="40"/>
      <c r="E704" s="40"/>
    </row>
    <row r="705" customFormat="false" ht="15" hidden="false" customHeight="false" outlineLevel="0" collapsed="false">
      <c r="C705" s="40"/>
      <c r="D705" s="40"/>
      <c r="E705" s="40"/>
    </row>
    <row r="706" customFormat="false" ht="15" hidden="false" customHeight="false" outlineLevel="0" collapsed="false">
      <c r="C706" s="40"/>
      <c r="D706" s="40"/>
      <c r="E706" s="40"/>
    </row>
    <row r="707" customFormat="false" ht="15" hidden="false" customHeight="false" outlineLevel="0" collapsed="false">
      <c r="C707" s="40"/>
      <c r="D707" s="40"/>
      <c r="E707" s="40"/>
    </row>
    <row r="708" customFormat="false" ht="15" hidden="false" customHeight="false" outlineLevel="0" collapsed="false">
      <c r="C708" s="40"/>
      <c r="D708" s="40"/>
      <c r="E708" s="40"/>
    </row>
    <row r="709" customFormat="false" ht="15" hidden="false" customHeight="false" outlineLevel="0" collapsed="false">
      <c r="C709" s="40"/>
      <c r="D709" s="40"/>
      <c r="E709" s="40"/>
    </row>
    <row r="710" customFormat="false" ht="15" hidden="false" customHeight="false" outlineLevel="0" collapsed="false">
      <c r="C710" s="40"/>
      <c r="D710" s="40"/>
      <c r="E710" s="40"/>
    </row>
    <row r="711" customFormat="false" ht="15" hidden="false" customHeight="false" outlineLevel="0" collapsed="false">
      <c r="C711" s="40"/>
      <c r="D711" s="40"/>
      <c r="E711" s="40"/>
    </row>
    <row r="712" customFormat="false" ht="15" hidden="false" customHeight="false" outlineLevel="0" collapsed="false">
      <c r="C712" s="40"/>
      <c r="D712" s="40"/>
      <c r="E712" s="40"/>
    </row>
    <row r="713" customFormat="false" ht="15" hidden="false" customHeight="false" outlineLevel="0" collapsed="false">
      <c r="C713" s="40"/>
      <c r="D713" s="40"/>
      <c r="E713" s="40"/>
    </row>
    <row r="714" customFormat="false" ht="15" hidden="false" customHeight="false" outlineLevel="0" collapsed="false">
      <c r="C714" s="40"/>
      <c r="D714" s="40"/>
      <c r="E714" s="40"/>
    </row>
    <row r="715" customFormat="false" ht="15" hidden="false" customHeight="false" outlineLevel="0" collapsed="false">
      <c r="C715" s="40"/>
      <c r="D715" s="40"/>
      <c r="E715" s="40"/>
    </row>
    <row r="716" customFormat="false" ht="15" hidden="false" customHeight="false" outlineLevel="0" collapsed="false">
      <c r="C716" s="40"/>
      <c r="D716" s="40"/>
      <c r="E716" s="40"/>
    </row>
    <row r="717" customFormat="false" ht="15" hidden="false" customHeight="false" outlineLevel="0" collapsed="false">
      <c r="C717" s="40"/>
      <c r="D717" s="40"/>
      <c r="E717" s="40"/>
    </row>
    <row r="718" customFormat="false" ht="15" hidden="false" customHeight="false" outlineLevel="0" collapsed="false">
      <c r="C718" s="40"/>
      <c r="D718" s="40"/>
      <c r="E718" s="40"/>
    </row>
    <row r="719" customFormat="false" ht="15" hidden="false" customHeight="false" outlineLevel="0" collapsed="false">
      <c r="C719" s="40"/>
      <c r="D719" s="40"/>
      <c r="E719" s="40"/>
    </row>
    <row r="720" customFormat="false" ht="15" hidden="false" customHeight="false" outlineLevel="0" collapsed="false">
      <c r="C720" s="40"/>
      <c r="D720" s="40"/>
      <c r="E720" s="40"/>
    </row>
    <row r="721" customFormat="false" ht="15" hidden="false" customHeight="false" outlineLevel="0" collapsed="false">
      <c r="C721" s="40"/>
      <c r="D721" s="40"/>
      <c r="E721" s="40"/>
    </row>
    <row r="722" customFormat="false" ht="15" hidden="false" customHeight="false" outlineLevel="0" collapsed="false">
      <c r="C722" s="40"/>
      <c r="D722" s="40"/>
      <c r="E722" s="40"/>
    </row>
    <row r="723" customFormat="false" ht="15" hidden="false" customHeight="false" outlineLevel="0" collapsed="false">
      <c r="C723" s="40"/>
      <c r="D723" s="40"/>
      <c r="E723" s="40"/>
    </row>
    <row r="724" customFormat="false" ht="15" hidden="false" customHeight="false" outlineLevel="0" collapsed="false">
      <c r="C724" s="40"/>
      <c r="D724" s="40"/>
      <c r="E724" s="40"/>
    </row>
    <row r="725" customFormat="false" ht="15" hidden="false" customHeight="false" outlineLevel="0" collapsed="false">
      <c r="C725" s="40"/>
      <c r="D725" s="40"/>
      <c r="E725" s="40"/>
    </row>
    <row r="726" customFormat="false" ht="15" hidden="false" customHeight="false" outlineLevel="0" collapsed="false">
      <c r="C726" s="40"/>
      <c r="D726" s="40"/>
      <c r="E726" s="40"/>
    </row>
    <row r="727" customFormat="false" ht="15" hidden="false" customHeight="false" outlineLevel="0" collapsed="false">
      <c r="C727" s="40"/>
      <c r="D727" s="40"/>
      <c r="E727" s="40"/>
    </row>
    <row r="728" customFormat="false" ht="15" hidden="false" customHeight="false" outlineLevel="0" collapsed="false">
      <c r="C728" s="40"/>
      <c r="D728" s="40"/>
      <c r="E728" s="40"/>
    </row>
    <row r="729" customFormat="false" ht="15" hidden="false" customHeight="false" outlineLevel="0" collapsed="false">
      <c r="C729" s="40"/>
      <c r="D729" s="40"/>
      <c r="E729" s="40"/>
    </row>
    <row r="730" customFormat="false" ht="15" hidden="false" customHeight="false" outlineLevel="0" collapsed="false">
      <c r="C730" s="40"/>
      <c r="D730" s="40"/>
      <c r="E730" s="40"/>
    </row>
    <row r="731" customFormat="false" ht="15" hidden="false" customHeight="false" outlineLevel="0" collapsed="false">
      <c r="C731" s="40"/>
      <c r="D731" s="40"/>
      <c r="E731" s="40"/>
    </row>
    <row r="732" customFormat="false" ht="15" hidden="false" customHeight="false" outlineLevel="0" collapsed="false">
      <c r="C732" s="40"/>
      <c r="D732" s="40"/>
      <c r="E732" s="40"/>
    </row>
    <row r="733" customFormat="false" ht="15" hidden="false" customHeight="false" outlineLevel="0" collapsed="false">
      <c r="C733" s="40"/>
      <c r="D733" s="40"/>
      <c r="E733" s="40"/>
    </row>
    <row r="734" customFormat="false" ht="15" hidden="false" customHeight="false" outlineLevel="0" collapsed="false">
      <c r="C734" s="40"/>
      <c r="D734" s="40"/>
      <c r="E734" s="40"/>
    </row>
    <row r="735" customFormat="false" ht="15" hidden="false" customHeight="false" outlineLevel="0" collapsed="false">
      <c r="C735" s="40"/>
      <c r="D735" s="40"/>
      <c r="E735" s="40"/>
    </row>
    <row r="736" customFormat="false" ht="15" hidden="false" customHeight="false" outlineLevel="0" collapsed="false">
      <c r="C736" s="40"/>
      <c r="D736" s="40"/>
      <c r="E736" s="40"/>
    </row>
    <row r="737" customFormat="false" ht="15" hidden="false" customHeight="false" outlineLevel="0" collapsed="false">
      <c r="C737" s="40"/>
      <c r="D737" s="40"/>
      <c r="E737" s="40"/>
    </row>
    <row r="738" customFormat="false" ht="15" hidden="false" customHeight="false" outlineLevel="0" collapsed="false">
      <c r="C738" s="40"/>
      <c r="D738" s="40"/>
      <c r="E738" s="40"/>
    </row>
    <row r="739" customFormat="false" ht="15" hidden="false" customHeight="false" outlineLevel="0" collapsed="false">
      <c r="C739" s="40"/>
      <c r="D739" s="40"/>
      <c r="E739" s="40"/>
    </row>
    <row r="740" customFormat="false" ht="15" hidden="false" customHeight="false" outlineLevel="0" collapsed="false">
      <c r="C740" s="40"/>
      <c r="D740" s="40"/>
      <c r="E740" s="40"/>
    </row>
    <row r="741" customFormat="false" ht="15" hidden="false" customHeight="false" outlineLevel="0" collapsed="false">
      <c r="C741" s="40"/>
      <c r="D741" s="40"/>
      <c r="E741" s="40"/>
    </row>
    <row r="742" customFormat="false" ht="15" hidden="false" customHeight="false" outlineLevel="0" collapsed="false">
      <c r="C742" s="40"/>
      <c r="D742" s="40"/>
      <c r="E742" s="40"/>
    </row>
    <row r="743" customFormat="false" ht="15" hidden="false" customHeight="false" outlineLevel="0" collapsed="false">
      <c r="C743" s="40"/>
      <c r="D743" s="40"/>
      <c r="E743" s="40"/>
    </row>
    <row r="744" customFormat="false" ht="15" hidden="false" customHeight="false" outlineLevel="0" collapsed="false">
      <c r="C744" s="40"/>
      <c r="D744" s="40"/>
      <c r="E744" s="40"/>
    </row>
    <row r="745" customFormat="false" ht="15" hidden="false" customHeight="false" outlineLevel="0" collapsed="false">
      <c r="C745" s="40"/>
      <c r="D745" s="40"/>
      <c r="E745" s="40"/>
    </row>
    <row r="746" customFormat="false" ht="15" hidden="false" customHeight="false" outlineLevel="0" collapsed="false">
      <c r="C746" s="40"/>
      <c r="D746" s="40"/>
      <c r="E746" s="40"/>
    </row>
    <row r="747" customFormat="false" ht="15" hidden="false" customHeight="false" outlineLevel="0" collapsed="false">
      <c r="C747" s="40"/>
      <c r="D747" s="40"/>
      <c r="E747" s="40"/>
    </row>
    <row r="748" customFormat="false" ht="15" hidden="false" customHeight="false" outlineLevel="0" collapsed="false">
      <c r="C748" s="40"/>
      <c r="D748" s="40"/>
      <c r="E748" s="40"/>
    </row>
    <row r="749" customFormat="false" ht="15" hidden="false" customHeight="false" outlineLevel="0" collapsed="false">
      <c r="C749" s="40"/>
      <c r="D749" s="40"/>
      <c r="E749" s="40"/>
    </row>
    <row r="750" customFormat="false" ht="15" hidden="false" customHeight="false" outlineLevel="0" collapsed="false">
      <c r="C750" s="40"/>
      <c r="D750" s="40"/>
      <c r="E750" s="40"/>
    </row>
    <row r="751" customFormat="false" ht="15" hidden="false" customHeight="false" outlineLevel="0" collapsed="false">
      <c r="C751" s="40"/>
      <c r="D751" s="40"/>
      <c r="E751" s="40"/>
    </row>
    <row r="752" customFormat="false" ht="15" hidden="false" customHeight="false" outlineLevel="0" collapsed="false">
      <c r="C752" s="40"/>
      <c r="D752" s="40"/>
      <c r="E752" s="40"/>
    </row>
    <row r="753" customFormat="false" ht="15" hidden="false" customHeight="false" outlineLevel="0" collapsed="false">
      <c r="C753" s="40"/>
      <c r="D753" s="40"/>
      <c r="E753" s="40"/>
    </row>
    <row r="754" customFormat="false" ht="15" hidden="false" customHeight="false" outlineLevel="0" collapsed="false">
      <c r="C754" s="40"/>
      <c r="D754" s="40"/>
      <c r="E754" s="40"/>
    </row>
    <row r="755" customFormat="false" ht="15" hidden="false" customHeight="false" outlineLevel="0" collapsed="false">
      <c r="C755" s="40"/>
      <c r="D755" s="40"/>
      <c r="E755" s="40"/>
    </row>
    <row r="756" customFormat="false" ht="15" hidden="false" customHeight="false" outlineLevel="0" collapsed="false">
      <c r="C756" s="40"/>
      <c r="D756" s="40"/>
      <c r="E756" s="40"/>
    </row>
    <row r="757" customFormat="false" ht="15" hidden="false" customHeight="false" outlineLevel="0" collapsed="false">
      <c r="C757" s="40"/>
      <c r="D757" s="40"/>
      <c r="E757" s="40"/>
    </row>
    <row r="758" customFormat="false" ht="15" hidden="false" customHeight="false" outlineLevel="0" collapsed="false">
      <c r="C758" s="40"/>
      <c r="D758" s="40"/>
      <c r="E758" s="40"/>
    </row>
    <row r="759" customFormat="false" ht="15" hidden="false" customHeight="false" outlineLevel="0" collapsed="false">
      <c r="C759" s="40"/>
      <c r="D759" s="40"/>
      <c r="E759" s="40"/>
    </row>
    <row r="760" customFormat="false" ht="15" hidden="false" customHeight="false" outlineLevel="0" collapsed="false">
      <c r="C760" s="40"/>
      <c r="D760" s="40"/>
      <c r="E760" s="40"/>
    </row>
    <row r="761" customFormat="false" ht="15" hidden="false" customHeight="false" outlineLevel="0" collapsed="false">
      <c r="C761" s="40"/>
      <c r="D761" s="40"/>
      <c r="E761" s="40"/>
    </row>
    <row r="762" customFormat="false" ht="15" hidden="false" customHeight="false" outlineLevel="0" collapsed="false">
      <c r="C762" s="40"/>
      <c r="D762" s="40"/>
      <c r="E762" s="40"/>
    </row>
    <row r="763" customFormat="false" ht="15" hidden="false" customHeight="false" outlineLevel="0" collapsed="false">
      <c r="C763" s="40"/>
      <c r="D763" s="40"/>
      <c r="E763" s="40"/>
    </row>
    <row r="764" customFormat="false" ht="15" hidden="false" customHeight="false" outlineLevel="0" collapsed="false">
      <c r="C764" s="40"/>
      <c r="D764" s="40"/>
      <c r="E764" s="40"/>
    </row>
    <row r="765" customFormat="false" ht="15" hidden="false" customHeight="false" outlineLevel="0" collapsed="false">
      <c r="C765" s="40"/>
      <c r="D765" s="40"/>
      <c r="E765" s="40"/>
    </row>
    <row r="766" customFormat="false" ht="15" hidden="false" customHeight="false" outlineLevel="0" collapsed="false">
      <c r="C766" s="40"/>
      <c r="D766" s="40"/>
      <c r="E766" s="40"/>
    </row>
    <row r="767" customFormat="false" ht="15" hidden="false" customHeight="false" outlineLevel="0" collapsed="false">
      <c r="C767" s="40"/>
      <c r="D767" s="40"/>
      <c r="E767" s="40"/>
    </row>
    <row r="768" customFormat="false" ht="15" hidden="false" customHeight="false" outlineLevel="0" collapsed="false">
      <c r="C768" s="40"/>
      <c r="D768" s="40"/>
      <c r="E768" s="40"/>
    </row>
    <row r="769" customFormat="false" ht="15" hidden="false" customHeight="false" outlineLevel="0" collapsed="false">
      <c r="C769" s="40"/>
      <c r="D769" s="40"/>
      <c r="E769" s="40"/>
    </row>
    <row r="770" customFormat="false" ht="15" hidden="false" customHeight="false" outlineLevel="0" collapsed="false">
      <c r="C770" s="40"/>
      <c r="D770" s="40"/>
      <c r="E770" s="40"/>
    </row>
    <row r="771" customFormat="false" ht="15" hidden="false" customHeight="false" outlineLevel="0" collapsed="false">
      <c r="C771" s="40"/>
      <c r="D771" s="40"/>
      <c r="E771" s="40"/>
    </row>
    <row r="772" customFormat="false" ht="15" hidden="false" customHeight="false" outlineLevel="0" collapsed="false">
      <c r="C772" s="40"/>
      <c r="D772" s="40"/>
      <c r="E772" s="40"/>
    </row>
    <row r="773" customFormat="false" ht="15" hidden="false" customHeight="false" outlineLevel="0" collapsed="false">
      <c r="C773" s="40"/>
      <c r="D773" s="40"/>
      <c r="E773" s="40"/>
    </row>
    <row r="774" customFormat="false" ht="15" hidden="false" customHeight="false" outlineLevel="0" collapsed="false">
      <c r="C774" s="40"/>
      <c r="D774" s="40"/>
      <c r="E774" s="40"/>
    </row>
    <row r="775" customFormat="false" ht="15" hidden="false" customHeight="false" outlineLevel="0" collapsed="false">
      <c r="C775" s="40"/>
      <c r="D775" s="40"/>
      <c r="E775" s="40"/>
    </row>
    <row r="776" customFormat="false" ht="15" hidden="false" customHeight="false" outlineLevel="0" collapsed="false">
      <c r="C776" s="40"/>
      <c r="D776" s="40"/>
      <c r="E776" s="40"/>
    </row>
    <row r="777" customFormat="false" ht="15" hidden="false" customHeight="false" outlineLevel="0" collapsed="false">
      <c r="C777" s="40"/>
      <c r="D777" s="40"/>
      <c r="E777" s="40"/>
    </row>
    <row r="778" customFormat="false" ht="15" hidden="false" customHeight="false" outlineLevel="0" collapsed="false">
      <c r="C778" s="40"/>
      <c r="D778" s="40"/>
      <c r="E778" s="40"/>
    </row>
    <row r="779" customFormat="false" ht="15" hidden="false" customHeight="false" outlineLevel="0" collapsed="false">
      <c r="C779" s="40"/>
      <c r="D779" s="40"/>
      <c r="E779" s="40"/>
    </row>
    <row r="780" customFormat="false" ht="15" hidden="false" customHeight="false" outlineLevel="0" collapsed="false">
      <c r="C780" s="40"/>
      <c r="D780" s="40"/>
      <c r="E780" s="40"/>
    </row>
    <row r="781" customFormat="false" ht="15" hidden="false" customHeight="false" outlineLevel="0" collapsed="false">
      <c r="C781" s="40"/>
      <c r="D781" s="40"/>
      <c r="E781" s="40"/>
    </row>
    <row r="782" customFormat="false" ht="15" hidden="false" customHeight="false" outlineLevel="0" collapsed="false">
      <c r="C782" s="40"/>
      <c r="D782" s="40"/>
      <c r="E782" s="40"/>
    </row>
    <row r="783" customFormat="false" ht="15" hidden="false" customHeight="false" outlineLevel="0" collapsed="false">
      <c r="C783" s="40"/>
      <c r="D783" s="40"/>
      <c r="E783" s="40"/>
    </row>
    <row r="784" customFormat="false" ht="15" hidden="false" customHeight="false" outlineLevel="0" collapsed="false">
      <c r="C784" s="40"/>
      <c r="D784" s="40"/>
      <c r="E784" s="40"/>
    </row>
    <row r="785" customFormat="false" ht="15" hidden="false" customHeight="false" outlineLevel="0" collapsed="false">
      <c r="C785" s="40"/>
      <c r="D785" s="40"/>
      <c r="E785" s="40"/>
    </row>
    <row r="786" customFormat="false" ht="15" hidden="false" customHeight="false" outlineLevel="0" collapsed="false">
      <c r="C786" s="40"/>
      <c r="D786" s="40"/>
      <c r="E786" s="40"/>
    </row>
    <row r="787" customFormat="false" ht="15" hidden="false" customHeight="false" outlineLevel="0" collapsed="false">
      <c r="C787" s="40"/>
      <c r="D787" s="40"/>
      <c r="E787" s="40"/>
    </row>
    <row r="788" customFormat="false" ht="15" hidden="false" customHeight="false" outlineLevel="0" collapsed="false">
      <c r="C788" s="40"/>
      <c r="D788" s="40"/>
      <c r="E788" s="40"/>
    </row>
    <row r="789" customFormat="false" ht="15" hidden="false" customHeight="false" outlineLevel="0" collapsed="false">
      <c r="C789" s="40"/>
      <c r="D789" s="40"/>
      <c r="E789" s="40"/>
    </row>
    <row r="790" customFormat="false" ht="15" hidden="false" customHeight="false" outlineLevel="0" collapsed="false">
      <c r="C790" s="40"/>
      <c r="D790" s="40"/>
      <c r="E790" s="40"/>
    </row>
    <row r="791" customFormat="false" ht="15" hidden="false" customHeight="false" outlineLevel="0" collapsed="false">
      <c r="C791" s="40"/>
      <c r="D791" s="40"/>
      <c r="E791" s="40"/>
    </row>
    <row r="792" customFormat="false" ht="15" hidden="false" customHeight="false" outlineLevel="0" collapsed="false">
      <c r="C792" s="40"/>
      <c r="D792" s="40"/>
      <c r="E792" s="40"/>
    </row>
    <row r="793" customFormat="false" ht="15" hidden="false" customHeight="false" outlineLevel="0" collapsed="false">
      <c r="C793" s="40"/>
      <c r="D793" s="40"/>
      <c r="E793" s="40"/>
    </row>
    <row r="794" customFormat="false" ht="15" hidden="false" customHeight="false" outlineLevel="0" collapsed="false">
      <c r="C794" s="40"/>
      <c r="D794" s="40"/>
      <c r="E794" s="40"/>
    </row>
    <row r="795" customFormat="false" ht="15" hidden="false" customHeight="false" outlineLevel="0" collapsed="false">
      <c r="C795" s="40"/>
      <c r="D795" s="40"/>
      <c r="E795" s="40"/>
    </row>
    <row r="796" customFormat="false" ht="15" hidden="false" customHeight="false" outlineLevel="0" collapsed="false">
      <c r="C796" s="40"/>
      <c r="D796" s="40"/>
      <c r="E796" s="40"/>
    </row>
    <row r="797" customFormat="false" ht="15" hidden="false" customHeight="false" outlineLevel="0" collapsed="false">
      <c r="C797" s="40"/>
      <c r="D797" s="40"/>
      <c r="E797" s="40"/>
    </row>
    <row r="798" customFormat="false" ht="15" hidden="false" customHeight="false" outlineLevel="0" collapsed="false">
      <c r="C798" s="40"/>
      <c r="D798" s="40"/>
      <c r="E798" s="40"/>
    </row>
    <row r="799" customFormat="false" ht="15" hidden="false" customHeight="false" outlineLevel="0" collapsed="false">
      <c r="C799" s="40"/>
      <c r="D799" s="40"/>
      <c r="E799" s="40"/>
    </row>
    <row r="800" customFormat="false" ht="15" hidden="false" customHeight="false" outlineLevel="0" collapsed="false">
      <c r="C800" s="40"/>
      <c r="D800" s="40"/>
      <c r="E800" s="40"/>
    </row>
    <row r="801" customFormat="false" ht="15" hidden="false" customHeight="false" outlineLevel="0" collapsed="false">
      <c r="C801" s="40"/>
      <c r="D801" s="40"/>
      <c r="E801" s="40"/>
    </row>
    <row r="802" customFormat="false" ht="15" hidden="false" customHeight="false" outlineLevel="0" collapsed="false">
      <c r="C802" s="40"/>
      <c r="D802" s="40"/>
      <c r="E802" s="40"/>
    </row>
    <row r="803" customFormat="false" ht="15" hidden="false" customHeight="false" outlineLevel="0" collapsed="false">
      <c r="C803" s="40"/>
      <c r="D803" s="40"/>
      <c r="E803" s="40"/>
    </row>
    <row r="804" customFormat="false" ht="15" hidden="false" customHeight="false" outlineLevel="0" collapsed="false">
      <c r="C804" s="40"/>
      <c r="D804" s="40"/>
      <c r="E804" s="40"/>
    </row>
    <row r="805" customFormat="false" ht="15" hidden="false" customHeight="false" outlineLevel="0" collapsed="false">
      <c r="C805" s="40"/>
      <c r="D805" s="40"/>
      <c r="E805" s="40"/>
    </row>
    <row r="806" customFormat="false" ht="15" hidden="false" customHeight="false" outlineLevel="0" collapsed="false">
      <c r="C806" s="40"/>
      <c r="D806" s="40"/>
      <c r="E806" s="40"/>
    </row>
    <row r="807" customFormat="false" ht="15" hidden="false" customHeight="false" outlineLevel="0" collapsed="false">
      <c r="C807" s="40"/>
      <c r="D807" s="40"/>
      <c r="E807" s="40"/>
    </row>
    <row r="808" customFormat="false" ht="15" hidden="false" customHeight="false" outlineLevel="0" collapsed="false">
      <c r="C808" s="40"/>
      <c r="D808" s="40"/>
      <c r="E808" s="40"/>
    </row>
    <row r="809" customFormat="false" ht="15" hidden="false" customHeight="false" outlineLevel="0" collapsed="false">
      <c r="C809" s="40"/>
      <c r="D809" s="40"/>
      <c r="E809" s="40"/>
    </row>
    <row r="810" customFormat="false" ht="15" hidden="false" customHeight="false" outlineLevel="0" collapsed="false">
      <c r="C810" s="40"/>
      <c r="D810" s="40"/>
      <c r="E810" s="40"/>
    </row>
    <row r="811" customFormat="false" ht="15" hidden="false" customHeight="false" outlineLevel="0" collapsed="false">
      <c r="C811" s="40"/>
      <c r="D811" s="40"/>
      <c r="E811" s="40"/>
    </row>
    <row r="812" customFormat="false" ht="15" hidden="false" customHeight="false" outlineLevel="0" collapsed="false">
      <c r="C812" s="40"/>
      <c r="D812" s="40"/>
      <c r="E812" s="40"/>
    </row>
    <row r="813" customFormat="false" ht="15" hidden="false" customHeight="false" outlineLevel="0" collapsed="false">
      <c r="C813" s="40"/>
      <c r="D813" s="40"/>
      <c r="E813" s="40"/>
    </row>
    <row r="814" customFormat="false" ht="15" hidden="false" customHeight="false" outlineLevel="0" collapsed="false">
      <c r="C814" s="40"/>
      <c r="D814" s="40"/>
      <c r="E814" s="40"/>
    </row>
    <row r="815" customFormat="false" ht="15" hidden="false" customHeight="false" outlineLevel="0" collapsed="false">
      <c r="C815" s="40"/>
      <c r="D815" s="40"/>
      <c r="E815" s="40"/>
    </row>
    <row r="816" customFormat="false" ht="15" hidden="false" customHeight="false" outlineLevel="0" collapsed="false">
      <c r="C816" s="40"/>
      <c r="D816" s="40"/>
      <c r="E816" s="40"/>
    </row>
    <row r="817" customFormat="false" ht="15" hidden="false" customHeight="false" outlineLevel="0" collapsed="false">
      <c r="C817" s="40"/>
      <c r="D817" s="40"/>
      <c r="E817" s="40"/>
    </row>
    <row r="818" customFormat="false" ht="15" hidden="false" customHeight="false" outlineLevel="0" collapsed="false">
      <c r="C818" s="40"/>
      <c r="D818" s="40"/>
      <c r="E818" s="40"/>
    </row>
    <row r="819" customFormat="false" ht="15" hidden="false" customHeight="false" outlineLevel="0" collapsed="false">
      <c r="C819" s="40"/>
      <c r="D819" s="40"/>
      <c r="E819" s="40"/>
    </row>
    <row r="820" customFormat="false" ht="15" hidden="false" customHeight="false" outlineLevel="0" collapsed="false">
      <c r="C820" s="40"/>
      <c r="D820" s="40"/>
      <c r="E820" s="40"/>
    </row>
    <row r="821" customFormat="false" ht="15" hidden="false" customHeight="false" outlineLevel="0" collapsed="false">
      <c r="C821" s="40"/>
      <c r="D821" s="40"/>
      <c r="E821" s="40"/>
    </row>
    <row r="822" customFormat="false" ht="15" hidden="false" customHeight="false" outlineLevel="0" collapsed="false">
      <c r="C822" s="40"/>
      <c r="D822" s="40"/>
      <c r="E822" s="40"/>
    </row>
    <row r="823" customFormat="false" ht="15" hidden="false" customHeight="false" outlineLevel="0" collapsed="false">
      <c r="C823" s="40"/>
      <c r="D823" s="40"/>
      <c r="E823" s="40"/>
    </row>
    <row r="824" customFormat="false" ht="15" hidden="false" customHeight="false" outlineLevel="0" collapsed="false">
      <c r="C824" s="40"/>
      <c r="D824" s="40"/>
      <c r="E824" s="40"/>
    </row>
    <row r="825" customFormat="false" ht="15" hidden="false" customHeight="false" outlineLevel="0" collapsed="false">
      <c r="C825" s="40"/>
      <c r="D825" s="40"/>
      <c r="E825" s="40"/>
    </row>
    <row r="826" customFormat="false" ht="15" hidden="false" customHeight="false" outlineLevel="0" collapsed="false">
      <c r="C826" s="40"/>
      <c r="D826" s="40"/>
      <c r="E826" s="40"/>
    </row>
    <row r="827" customFormat="false" ht="15" hidden="false" customHeight="false" outlineLevel="0" collapsed="false">
      <c r="C827" s="40"/>
      <c r="D827" s="40"/>
      <c r="E827" s="40"/>
    </row>
    <row r="828" customFormat="false" ht="15" hidden="false" customHeight="false" outlineLevel="0" collapsed="false">
      <c r="C828" s="40"/>
      <c r="D828" s="40"/>
      <c r="E828" s="40"/>
    </row>
    <row r="829" customFormat="false" ht="15" hidden="false" customHeight="false" outlineLevel="0" collapsed="false">
      <c r="C829" s="40"/>
      <c r="D829" s="40"/>
      <c r="E829" s="40"/>
    </row>
    <row r="830" customFormat="false" ht="15" hidden="false" customHeight="false" outlineLevel="0" collapsed="false">
      <c r="C830" s="40"/>
      <c r="D830" s="40"/>
      <c r="E830" s="40"/>
    </row>
    <row r="831" customFormat="false" ht="15" hidden="false" customHeight="false" outlineLevel="0" collapsed="false">
      <c r="C831" s="40"/>
      <c r="D831" s="40"/>
      <c r="E831" s="40"/>
    </row>
    <row r="832" customFormat="false" ht="15" hidden="false" customHeight="false" outlineLevel="0" collapsed="false">
      <c r="C832" s="40"/>
      <c r="D832" s="40"/>
      <c r="E832" s="40"/>
    </row>
    <row r="833" customFormat="false" ht="15" hidden="false" customHeight="false" outlineLevel="0" collapsed="false">
      <c r="C833" s="40"/>
      <c r="D833" s="40"/>
      <c r="E833" s="40"/>
    </row>
    <row r="834" customFormat="false" ht="15" hidden="false" customHeight="false" outlineLevel="0" collapsed="false">
      <c r="C834" s="40"/>
      <c r="D834" s="40"/>
      <c r="E834" s="40"/>
    </row>
    <row r="835" customFormat="false" ht="15" hidden="false" customHeight="false" outlineLevel="0" collapsed="false">
      <c r="C835" s="40"/>
      <c r="D835" s="40"/>
      <c r="E835" s="40"/>
    </row>
    <row r="836" customFormat="false" ht="15" hidden="false" customHeight="false" outlineLevel="0" collapsed="false">
      <c r="C836" s="40"/>
      <c r="D836" s="40"/>
      <c r="E836" s="40"/>
    </row>
    <row r="837" customFormat="false" ht="15" hidden="false" customHeight="false" outlineLevel="0" collapsed="false">
      <c r="C837" s="40"/>
      <c r="D837" s="40"/>
      <c r="E837" s="40"/>
    </row>
    <row r="838" customFormat="false" ht="15" hidden="false" customHeight="false" outlineLevel="0" collapsed="false">
      <c r="C838" s="40"/>
      <c r="D838" s="40"/>
      <c r="E838" s="40"/>
    </row>
    <row r="839" customFormat="false" ht="15" hidden="false" customHeight="false" outlineLevel="0" collapsed="false">
      <c r="C839" s="40"/>
      <c r="D839" s="40"/>
      <c r="E839" s="40"/>
    </row>
    <row r="840" customFormat="false" ht="15" hidden="false" customHeight="false" outlineLevel="0" collapsed="false">
      <c r="C840" s="40"/>
      <c r="D840" s="40"/>
      <c r="E840" s="40"/>
    </row>
    <row r="841" customFormat="false" ht="15" hidden="false" customHeight="false" outlineLevel="0" collapsed="false">
      <c r="C841" s="40"/>
      <c r="D841" s="40"/>
      <c r="E841" s="40"/>
    </row>
    <row r="842" customFormat="false" ht="15" hidden="false" customHeight="false" outlineLevel="0" collapsed="false">
      <c r="C842" s="40"/>
      <c r="D842" s="40"/>
      <c r="E842" s="40"/>
    </row>
    <row r="843" customFormat="false" ht="15" hidden="false" customHeight="false" outlineLevel="0" collapsed="false">
      <c r="C843" s="40"/>
      <c r="D843" s="40"/>
      <c r="E843" s="40"/>
    </row>
    <row r="844" customFormat="false" ht="15" hidden="false" customHeight="false" outlineLevel="0" collapsed="false">
      <c r="C844" s="40"/>
      <c r="D844" s="40"/>
      <c r="E844" s="40"/>
    </row>
    <row r="845" customFormat="false" ht="15" hidden="false" customHeight="false" outlineLevel="0" collapsed="false">
      <c r="C845" s="40"/>
      <c r="D845" s="40"/>
      <c r="E845" s="40"/>
    </row>
    <row r="846" customFormat="false" ht="15" hidden="false" customHeight="false" outlineLevel="0" collapsed="false">
      <c r="C846" s="40"/>
      <c r="D846" s="40"/>
      <c r="E846" s="40"/>
    </row>
    <row r="847" customFormat="false" ht="15" hidden="false" customHeight="false" outlineLevel="0" collapsed="false">
      <c r="C847" s="40"/>
      <c r="D847" s="40"/>
      <c r="E847" s="40"/>
    </row>
    <row r="848" customFormat="false" ht="15" hidden="false" customHeight="false" outlineLevel="0" collapsed="false">
      <c r="C848" s="40"/>
      <c r="D848" s="40"/>
      <c r="E848" s="40"/>
    </row>
    <row r="849" customFormat="false" ht="15" hidden="false" customHeight="false" outlineLevel="0" collapsed="false">
      <c r="C849" s="40"/>
      <c r="D849" s="40"/>
      <c r="E849" s="40"/>
    </row>
    <row r="850" customFormat="false" ht="15" hidden="false" customHeight="false" outlineLevel="0" collapsed="false">
      <c r="C850" s="40"/>
      <c r="D850" s="40"/>
      <c r="E850" s="40"/>
    </row>
    <row r="851" customFormat="false" ht="15" hidden="false" customHeight="false" outlineLevel="0" collapsed="false">
      <c r="C851" s="40"/>
      <c r="D851" s="40"/>
      <c r="E851" s="40"/>
    </row>
    <row r="852" customFormat="false" ht="15" hidden="false" customHeight="false" outlineLevel="0" collapsed="false">
      <c r="C852" s="40"/>
      <c r="D852" s="40"/>
      <c r="E852" s="40"/>
    </row>
    <row r="853" customFormat="false" ht="15" hidden="false" customHeight="false" outlineLevel="0" collapsed="false">
      <c r="C853" s="40"/>
      <c r="D853" s="40"/>
      <c r="E853" s="40"/>
    </row>
    <row r="854" customFormat="false" ht="15" hidden="false" customHeight="false" outlineLevel="0" collapsed="false">
      <c r="C854" s="40"/>
      <c r="D854" s="40"/>
      <c r="E854" s="40"/>
    </row>
    <row r="855" customFormat="false" ht="15" hidden="false" customHeight="false" outlineLevel="0" collapsed="false">
      <c r="C855" s="40"/>
      <c r="D855" s="40"/>
      <c r="E855" s="40"/>
    </row>
    <row r="856" customFormat="false" ht="15" hidden="false" customHeight="false" outlineLevel="0" collapsed="false">
      <c r="C856" s="40"/>
      <c r="D856" s="40"/>
      <c r="E856" s="40"/>
    </row>
    <row r="857" customFormat="false" ht="15" hidden="false" customHeight="false" outlineLevel="0" collapsed="false">
      <c r="C857" s="40"/>
      <c r="D857" s="40"/>
      <c r="E857" s="40"/>
    </row>
    <row r="858" customFormat="false" ht="15" hidden="false" customHeight="false" outlineLevel="0" collapsed="false">
      <c r="C858" s="40"/>
      <c r="D858" s="40"/>
      <c r="E858" s="40"/>
    </row>
    <row r="859" customFormat="false" ht="15" hidden="false" customHeight="false" outlineLevel="0" collapsed="false">
      <c r="C859" s="40"/>
      <c r="D859" s="40"/>
      <c r="E859" s="40"/>
    </row>
    <row r="860" customFormat="false" ht="15" hidden="false" customHeight="false" outlineLevel="0" collapsed="false">
      <c r="C860" s="40"/>
      <c r="D860" s="40"/>
      <c r="E860" s="40"/>
    </row>
    <row r="861" customFormat="false" ht="15" hidden="false" customHeight="false" outlineLevel="0" collapsed="false">
      <c r="C861" s="40"/>
      <c r="D861" s="40"/>
      <c r="E861" s="40"/>
    </row>
    <row r="862" customFormat="false" ht="15" hidden="false" customHeight="false" outlineLevel="0" collapsed="false">
      <c r="C862" s="40"/>
      <c r="D862" s="40"/>
      <c r="E862" s="40"/>
    </row>
    <row r="863" customFormat="false" ht="15" hidden="false" customHeight="false" outlineLevel="0" collapsed="false">
      <c r="C863" s="40"/>
      <c r="D863" s="40"/>
      <c r="E863" s="40"/>
    </row>
    <row r="864" customFormat="false" ht="15" hidden="false" customHeight="false" outlineLevel="0" collapsed="false">
      <c r="C864" s="40"/>
      <c r="D864" s="40"/>
      <c r="E864" s="40"/>
    </row>
    <row r="865" customFormat="false" ht="15" hidden="false" customHeight="false" outlineLevel="0" collapsed="false">
      <c r="C865" s="40"/>
      <c r="D865" s="40"/>
      <c r="E865" s="40"/>
    </row>
    <row r="866" customFormat="false" ht="15" hidden="false" customHeight="false" outlineLevel="0" collapsed="false">
      <c r="C866" s="40"/>
      <c r="D866" s="40"/>
      <c r="E866" s="40"/>
    </row>
    <row r="867" customFormat="false" ht="15" hidden="false" customHeight="false" outlineLevel="0" collapsed="false">
      <c r="C867" s="40"/>
      <c r="D867" s="40"/>
      <c r="E867" s="40"/>
    </row>
    <row r="868" customFormat="false" ht="15" hidden="false" customHeight="false" outlineLevel="0" collapsed="false">
      <c r="C868" s="40"/>
      <c r="D868" s="40"/>
      <c r="E868" s="40"/>
    </row>
    <row r="869" customFormat="false" ht="15" hidden="false" customHeight="false" outlineLevel="0" collapsed="false">
      <c r="C869" s="40"/>
      <c r="D869" s="40"/>
      <c r="E869" s="40"/>
    </row>
    <row r="870" customFormat="false" ht="15" hidden="false" customHeight="false" outlineLevel="0" collapsed="false">
      <c r="C870" s="40"/>
      <c r="D870" s="40"/>
      <c r="E870" s="40"/>
    </row>
    <row r="871" customFormat="false" ht="15" hidden="false" customHeight="false" outlineLevel="0" collapsed="false">
      <c r="C871" s="40"/>
      <c r="D871" s="40"/>
      <c r="E871" s="40"/>
    </row>
    <row r="872" customFormat="false" ht="15" hidden="false" customHeight="false" outlineLevel="0" collapsed="false">
      <c r="C872" s="40"/>
      <c r="D872" s="40"/>
      <c r="E872" s="40"/>
    </row>
    <row r="873" customFormat="false" ht="15" hidden="false" customHeight="false" outlineLevel="0" collapsed="false">
      <c r="C873" s="40"/>
      <c r="D873" s="40"/>
      <c r="E873" s="40"/>
    </row>
    <row r="874" customFormat="false" ht="15" hidden="false" customHeight="false" outlineLevel="0" collapsed="false">
      <c r="C874" s="40"/>
      <c r="D874" s="40"/>
      <c r="E874" s="40"/>
    </row>
    <row r="875" customFormat="false" ht="15" hidden="false" customHeight="false" outlineLevel="0" collapsed="false">
      <c r="C875" s="40"/>
      <c r="D875" s="40"/>
      <c r="E875" s="40"/>
    </row>
    <row r="876" customFormat="false" ht="15" hidden="false" customHeight="false" outlineLevel="0" collapsed="false">
      <c r="C876" s="40"/>
      <c r="D876" s="40"/>
      <c r="E876" s="40"/>
    </row>
    <row r="877" customFormat="false" ht="15" hidden="false" customHeight="false" outlineLevel="0" collapsed="false">
      <c r="C877" s="40"/>
      <c r="D877" s="40"/>
      <c r="E877" s="40"/>
    </row>
    <row r="878" customFormat="false" ht="15" hidden="false" customHeight="false" outlineLevel="0" collapsed="false">
      <c r="C878" s="40"/>
      <c r="D878" s="40"/>
      <c r="E878" s="40"/>
    </row>
    <row r="879" customFormat="false" ht="15" hidden="false" customHeight="false" outlineLevel="0" collapsed="false">
      <c r="C879" s="40"/>
      <c r="D879" s="40"/>
      <c r="E879" s="40"/>
    </row>
    <row r="880" customFormat="false" ht="15" hidden="false" customHeight="false" outlineLevel="0" collapsed="false">
      <c r="C880" s="40"/>
      <c r="D880" s="40"/>
      <c r="E880" s="40"/>
    </row>
    <row r="881" customFormat="false" ht="15" hidden="false" customHeight="false" outlineLevel="0" collapsed="false">
      <c r="C881" s="40"/>
      <c r="D881" s="40"/>
      <c r="E881" s="40"/>
    </row>
    <row r="882" customFormat="false" ht="15" hidden="false" customHeight="false" outlineLevel="0" collapsed="false">
      <c r="C882" s="40"/>
      <c r="D882" s="40"/>
      <c r="E882" s="40"/>
    </row>
    <row r="883" customFormat="false" ht="15" hidden="false" customHeight="false" outlineLevel="0" collapsed="false">
      <c r="C883" s="40"/>
      <c r="D883" s="40"/>
      <c r="E883" s="40"/>
    </row>
    <row r="884" customFormat="false" ht="15" hidden="false" customHeight="false" outlineLevel="0" collapsed="false">
      <c r="C884" s="40"/>
      <c r="D884" s="40"/>
      <c r="E884" s="40"/>
    </row>
    <row r="885" customFormat="false" ht="15" hidden="false" customHeight="false" outlineLevel="0" collapsed="false">
      <c r="C885" s="40"/>
      <c r="D885" s="40"/>
      <c r="E885" s="40"/>
    </row>
    <row r="886" customFormat="false" ht="15" hidden="false" customHeight="false" outlineLevel="0" collapsed="false">
      <c r="C886" s="40"/>
      <c r="D886" s="40"/>
      <c r="E886" s="40"/>
    </row>
    <row r="887" customFormat="false" ht="15" hidden="false" customHeight="false" outlineLevel="0" collapsed="false">
      <c r="C887" s="40"/>
      <c r="D887" s="40"/>
      <c r="E887" s="40"/>
    </row>
    <row r="888" customFormat="false" ht="15" hidden="false" customHeight="false" outlineLevel="0" collapsed="false">
      <c r="C888" s="40"/>
      <c r="D888" s="40"/>
      <c r="E888" s="40"/>
    </row>
    <row r="889" customFormat="false" ht="15" hidden="false" customHeight="false" outlineLevel="0" collapsed="false">
      <c r="C889" s="40"/>
      <c r="D889" s="40"/>
      <c r="E889" s="40"/>
    </row>
    <row r="890" customFormat="false" ht="15" hidden="false" customHeight="false" outlineLevel="0" collapsed="false">
      <c r="C890" s="40"/>
      <c r="D890" s="40"/>
      <c r="E890" s="40"/>
    </row>
    <row r="891" customFormat="false" ht="15" hidden="false" customHeight="false" outlineLevel="0" collapsed="false">
      <c r="C891" s="40"/>
      <c r="D891" s="40"/>
      <c r="E891" s="40"/>
    </row>
    <row r="892" customFormat="false" ht="15" hidden="false" customHeight="false" outlineLevel="0" collapsed="false">
      <c r="C892" s="40"/>
      <c r="D892" s="40"/>
      <c r="E892" s="40"/>
    </row>
    <row r="893" customFormat="false" ht="15" hidden="false" customHeight="false" outlineLevel="0" collapsed="false">
      <c r="C893" s="40"/>
      <c r="D893" s="40"/>
      <c r="E893" s="40"/>
    </row>
    <row r="894" customFormat="false" ht="15" hidden="false" customHeight="false" outlineLevel="0" collapsed="false">
      <c r="C894" s="40"/>
      <c r="D894" s="40"/>
      <c r="E894" s="40"/>
    </row>
    <row r="895" customFormat="false" ht="15" hidden="false" customHeight="false" outlineLevel="0" collapsed="false">
      <c r="C895" s="40"/>
      <c r="D895" s="40"/>
      <c r="E895" s="40"/>
    </row>
    <row r="896" customFormat="false" ht="15" hidden="false" customHeight="false" outlineLevel="0" collapsed="false">
      <c r="C896" s="40"/>
      <c r="D896" s="40"/>
      <c r="E896" s="40"/>
    </row>
    <row r="897" customFormat="false" ht="15" hidden="false" customHeight="false" outlineLevel="0" collapsed="false">
      <c r="C897" s="40"/>
      <c r="D897" s="40"/>
      <c r="E897" s="40"/>
    </row>
    <row r="898" customFormat="false" ht="15" hidden="false" customHeight="false" outlineLevel="0" collapsed="false">
      <c r="C898" s="40"/>
      <c r="D898" s="40"/>
      <c r="E898" s="40"/>
    </row>
    <row r="899" customFormat="false" ht="15" hidden="false" customHeight="false" outlineLevel="0" collapsed="false">
      <c r="C899" s="40"/>
      <c r="D899" s="40"/>
      <c r="E899" s="40"/>
    </row>
    <row r="900" customFormat="false" ht="15" hidden="false" customHeight="false" outlineLevel="0" collapsed="false">
      <c r="C900" s="40"/>
      <c r="D900" s="40"/>
      <c r="E900" s="40"/>
    </row>
    <row r="901" customFormat="false" ht="15" hidden="false" customHeight="false" outlineLevel="0" collapsed="false">
      <c r="C901" s="40"/>
      <c r="D901" s="40"/>
      <c r="E901" s="40"/>
    </row>
    <row r="902" customFormat="false" ht="15" hidden="false" customHeight="false" outlineLevel="0" collapsed="false">
      <c r="C902" s="40"/>
      <c r="D902" s="40"/>
      <c r="E902" s="40"/>
    </row>
    <row r="903" customFormat="false" ht="15" hidden="false" customHeight="false" outlineLevel="0" collapsed="false">
      <c r="C903" s="40"/>
      <c r="D903" s="40"/>
      <c r="E903" s="40"/>
    </row>
    <row r="904" customFormat="false" ht="15" hidden="false" customHeight="false" outlineLevel="0" collapsed="false">
      <c r="C904" s="40"/>
      <c r="D904" s="40"/>
      <c r="E904" s="40"/>
    </row>
    <row r="905" customFormat="false" ht="15" hidden="false" customHeight="false" outlineLevel="0" collapsed="false">
      <c r="C905" s="40"/>
      <c r="D905" s="40"/>
      <c r="E905" s="40"/>
    </row>
    <row r="906" customFormat="false" ht="15" hidden="false" customHeight="false" outlineLevel="0" collapsed="false">
      <c r="C906" s="40"/>
      <c r="D906" s="40"/>
      <c r="E906" s="40"/>
    </row>
    <row r="907" customFormat="false" ht="15" hidden="false" customHeight="false" outlineLevel="0" collapsed="false">
      <c r="C907" s="40"/>
      <c r="D907" s="40"/>
      <c r="E907" s="40"/>
    </row>
    <row r="908" customFormat="false" ht="15" hidden="false" customHeight="false" outlineLevel="0" collapsed="false">
      <c r="C908" s="40"/>
      <c r="D908" s="40"/>
      <c r="E908" s="40"/>
    </row>
    <row r="909" customFormat="false" ht="15" hidden="false" customHeight="false" outlineLevel="0" collapsed="false">
      <c r="C909" s="40"/>
      <c r="D909" s="40"/>
      <c r="E909" s="40"/>
    </row>
    <row r="910" customFormat="false" ht="15" hidden="false" customHeight="false" outlineLevel="0" collapsed="false">
      <c r="C910" s="40"/>
      <c r="D910" s="40"/>
      <c r="E910" s="40"/>
    </row>
    <row r="911" customFormat="false" ht="15" hidden="false" customHeight="false" outlineLevel="0" collapsed="false">
      <c r="C911" s="40"/>
      <c r="D911" s="40"/>
      <c r="E911" s="40"/>
    </row>
    <row r="912" customFormat="false" ht="15" hidden="false" customHeight="false" outlineLevel="0" collapsed="false">
      <c r="C912" s="40"/>
      <c r="D912" s="40"/>
      <c r="E912" s="40"/>
    </row>
    <row r="913" customFormat="false" ht="15" hidden="false" customHeight="false" outlineLevel="0" collapsed="false">
      <c r="C913" s="40"/>
      <c r="D913" s="40"/>
      <c r="E913" s="40"/>
    </row>
    <row r="914" customFormat="false" ht="15" hidden="false" customHeight="false" outlineLevel="0" collapsed="false">
      <c r="C914" s="40"/>
      <c r="D914" s="40"/>
      <c r="E914" s="40"/>
    </row>
    <row r="915" customFormat="false" ht="15" hidden="false" customHeight="false" outlineLevel="0" collapsed="false">
      <c r="C915" s="40"/>
      <c r="D915" s="40"/>
      <c r="E915" s="40"/>
    </row>
    <row r="916" customFormat="false" ht="15" hidden="false" customHeight="false" outlineLevel="0" collapsed="false">
      <c r="C916" s="40"/>
      <c r="D916" s="40"/>
      <c r="E916" s="40"/>
    </row>
    <row r="917" customFormat="false" ht="15" hidden="false" customHeight="false" outlineLevel="0" collapsed="false">
      <c r="C917" s="40"/>
      <c r="D917" s="40"/>
      <c r="E917" s="40"/>
    </row>
    <row r="918" customFormat="false" ht="15" hidden="false" customHeight="false" outlineLevel="0" collapsed="false">
      <c r="C918" s="40"/>
      <c r="D918" s="40"/>
      <c r="E918" s="40"/>
    </row>
    <row r="919" customFormat="false" ht="15" hidden="false" customHeight="false" outlineLevel="0" collapsed="false">
      <c r="C919" s="40"/>
      <c r="D919" s="40"/>
      <c r="E919" s="40"/>
    </row>
    <row r="920" customFormat="false" ht="15" hidden="false" customHeight="false" outlineLevel="0" collapsed="false">
      <c r="C920" s="40"/>
      <c r="D920" s="40"/>
      <c r="E920" s="40"/>
    </row>
    <row r="921" customFormat="false" ht="15" hidden="false" customHeight="false" outlineLevel="0" collapsed="false">
      <c r="C921" s="40"/>
      <c r="D921" s="40"/>
      <c r="E921" s="40"/>
    </row>
    <row r="922" customFormat="false" ht="15" hidden="false" customHeight="false" outlineLevel="0" collapsed="false">
      <c r="C922" s="40"/>
      <c r="D922" s="40"/>
      <c r="E922" s="40"/>
    </row>
    <row r="923" customFormat="false" ht="15" hidden="false" customHeight="false" outlineLevel="0" collapsed="false">
      <c r="C923" s="40"/>
      <c r="D923" s="40"/>
      <c r="E923" s="40"/>
    </row>
    <row r="924" customFormat="false" ht="15" hidden="false" customHeight="false" outlineLevel="0" collapsed="false">
      <c r="C924" s="40"/>
      <c r="D924" s="40"/>
      <c r="E924" s="40"/>
    </row>
    <row r="925" customFormat="false" ht="15" hidden="false" customHeight="false" outlineLevel="0" collapsed="false">
      <c r="C925" s="40"/>
      <c r="D925" s="40"/>
      <c r="E925" s="40"/>
    </row>
    <row r="926" customFormat="false" ht="15" hidden="false" customHeight="false" outlineLevel="0" collapsed="false">
      <c r="C926" s="40"/>
      <c r="D926" s="40"/>
      <c r="E926" s="40"/>
    </row>
    <row r="927" customFormat="false" ht="15" hidden="false" customHeight="false" outlineLevel="0" collapsed="false">
      <c r="C927" s="40"/>
      <c r="D927" s="40"/>
      <c r="E927" s="40"/>
    </row>
    <row r="928" customFormat="false" ht="15" hidden="false" customHeight="false" outlineLevel="0" collapsed="false">
      <c r="C928" s="40"/>
      <c r="D928" s="40"/>
      <c r="E928" s="40"/>
    </row>
    <row r="929" customFormat="false" ht="15" hidden="false" customHeight="false" outlineLevel="0" collapsed="false">
      <c r="C929" s="40"/>
      <c r="D929" s="40"/>
      <c r="E929" s="40"/>
    </row>
    <row r="930" customFormat="false" ht="15" hidden="false" customHeight="false" outlineLevel="0" collapsed="false">
      <c r="C930" s="40"/>
      <c r="D930" s="40"/>
      <c r="E930" s="40"/>
    </row>
    <row r="931" customFormat="false" ht="15" hidden="false" customHeight="false" outlineLevel="0" collapsed="false">
      <c r="C931" s="40"/>
      <c r="D931" s="40"/>
      <c r="E931" s="40"/>
    </row>
    <row r="932" customFormat="false" ht="15" hidden="false" customHeight="false" outlineLevel="0" collapsed="false">
      <c r="C932" s="40"/>
      <c r="D932" s="40"/>
      <c r="E932" s="40"/>
    </row>
    <row r="933" customFormat="false" ht="15" hidden="false" customHeight="false" outlineLevel="0" collapsed="false">
      <c r="C933" s="40"/>
      <c r="D933" s="40"/>
      <c r="E933" s="40"/>
    </row>
    <row r="934" customFormat="false" ht="15" hidden="false" customHeight="false" outlineLevel="0" collapsed="false">
      <c r="C934" s="40"/>
      <c r="D934" s="40"/>
      <c r="E934" s="40"/>
    </row>
    <row r="935" customFormat="false" ht="15" hidden="false" customHeight="false" outlineLevel="0" collapsed="false">
      <c r="C935" s="40"/>
      <c r="D935" s="40"/>
      <c r="E935" s="40"/>
    </row>
    <row r="936" customFormat="false" ht="15" hidden="false" customHeight="false" outlineLevel="0" collapsed="false">
      <c r="C936" s="40"/>
      <c r="D936" s="40"/>
      <c r="E936" s="40"/>
    </row>
    <row r="937" customFormat="false" ht="15" hidden="false" customHeight="false" outlineLevel="0" collapsed="false">
      <c r="C937" s="40"/>
      <c r="D937" s="40"/>
      <c r="E937" s="40"/>
    </row>
    <row r="938" customFormat="false" ht="15" hidden="false" customHeight="false" outlineLevel="0" collapsed="false">
      <c r="C938" s="40"/>
      <c r="D938" s="40"/>
      <c r="E938" s="40"/>
    </row>
    <row r="939" customFormat="false" ht="15" hidden="false" customHeight="false" outlineLevel="0" collapsed="false">
      <c r="C939" s="40"/>
      <c r="D939" s="40"/>
      <c r="E939" s="40"/>
    </row>
    <row r="940" customFormat="false" ht="15" hidden="false" customHeight="false" outlineLevel="0" collapsed="false">
      <c r="C940" s="40"/>
      <c r="D940" s="40"/>
      <c r="E940" s="40"/>
    </row>
    <row r="941" customFormat="false" ht="15" hidden="false" customHeight="false" outlineLevel="0" collapsed="false">
      <c r="C941" s="40"/>
      <c r="D941" s="40"/>
      <c r="E941" s="40"/>
    </row>
    <row r="942" customFormat="false" ht="15" hidden="false" customHeight="false" outlineLevel="0" collapsed="false">
      <c r="C942" s="40"/>
      <c r="D942" s="40"/>
      <c r="E942" s="40"/>
    </row>
    <row r="943" customFormat="false" ht="15" hidden="false" customHeight="false" outlineLevel="0" collapsed="false">
      <c r="C943" s="40"/>
      <c r="D943" s="40"/>
      <c r="E943" s="40"/>
    </row>
    <row r="944" customFormat="false" ht="15" hidden="false" customHeight="false" outlineLevel="0" collapsed="false">
      <c r="C944" s="40"/>
      <c r="D944" s="40"/>
      <c r="E944" s="40"/>
    </row>
    <row r="945" customFormat="false" ht="15" hidden="false" customHeight="false" outlineLevel="0" collapsed="false">
      <c r="C945" s="40"/>
      <c r="D945" s="40"/>
      <c r="E945" s="40"/>
    </row>
    <row r="946" customFormat="false" ht="15" hidden="false" customHeight="false" outlineLevel="0" collapsed="false">
      <c r="C946" s="40"/>
      <c r="D946" s="40"/>
      <c r="E946" s="40"/>
    </row>
    <row r="947" customFormat="false" ht="15" hidden="false" customHeight="false" outlineLevel="0" collapsed="false">
      <c r="C947" s="40"/>
      <c r="D947" s="40"/>
      <c r="E947" s="40"/>
    </row>
    <row r="948" customFormat="false" ht="15" hidden="false" customHeight="false" outlineLevel="0" collapsed="false">
      <c r="C948" s="40"/>
      <c r="D948" s="40"/>
      <c r="E948" s="40"/>
    </row>
    <row r="949" customFormat="false" ht="15" hidden="false" customHeight="false" outlineLevel="0" collapsed="false">
      <c r="C949" s="40"/>
      <c r="D949" s="40"/>
      <c r="E949" s="40"/>
    </row>
    <row r="950" customFormat="false" ht="15" hidden="false" customHeight="false" outlineLevel="0" collapsed="false">
      <c r="C950" s="40"/>
      <c r="D950" s="40"/>
      <c r="E950" s="40"/>
    </row>
    <row r="951" customFormat="false" ht="15" hidden="false" customHeight="false" outlineLevel="0" collapsed="false">
      <c r="C951" s="40"/>
      <c r="D951" s="40"/>
      <c r="E951" s="40"/>
    </row>
    <row r="952" customFormat="false" ht="15" hidden="false" customHeight="false" outlineLevel="0" collapsed="false">
      <c r="C952" s="40"/>
      <c r="D952" s="40"/>
      <c r="E952" s="40"/>
    </row>
    <row r="953" customFormat="false" ht="15" hidden="false" customHeight="false" outlineLevel="0" collapsed="false">
      <c r="C953" s="40"/>
      <c r="D953" s="40"/>
      <c r="E953" s="40"/>
    </row>
    <row r="954" customFormat="false" ht="15" hidden="false" customHeight="false" outlineLevel="0" collapsed="false">
      <c r="C954" s="40"/>
      <c r="D954" s="40"/>
      <c r="E954" s="40"/>
    </row>
    <row r="955" customFormat="false" ht="15" hidden="false" customHeight="false" outlineLevel="0" collapsed="false">
      <c r="C955" s="40"/>
      <c r="D955" s="40"/>
      <c r="E955" s="40"/>
    </row>
    <row r="956" customFormat="false" ht="15" hidden="false" customHeight="false" outlineLevel="0" collapsed="false">
      <c r="C956" s="40"/>
      <c r="D956" s="40"/>
      <c r="E956" s="40"/>
    </row>
    <row r="957" customFormat="false" ht="15" hidden="false" customHeight="false" outlineLevel="0" collapsed="false">
      <c r="C957" s="40"/>
      <c r="D957" s="40"/>
      <c r="E957" s="40"/>
    </row>
    <row r="958" customFormat="false" ht="15" hidden="false" customHeight="false" outlineLevel="0" collapsed="false">
      <c r="C958" s="40"/>
      <c r="D958" s="40"/>
      <c r="E958" s="40"/>
    </row>
    <row r="959" customFormat="false" ht="15" hidden="false" customHeight="false" outlineLevel="0" collapsed="false">
      <c r="C959" s="40"/>
      <c r="D959" s="40"/>
      <c r="E959" s="40"/>
    </row>
    <row r="960" customFormat="false" ht="15" hidden="false" customHeight="false" outlineLevel="0" collapsed="false">
      <c r="C960" s="40"/>
      <c r="D960" s="40"/>
      <c r="E960" s="40"/>
    </row>
    <row r="961" customFormat="false" ht="15" hidden="false" customHeight="false" outlineLevel="0" collapsed="false">
      <c r="C961" s="40"/>
      <c r="D961" s="40"/>
      <c r="E961" s="40"/>
    </row>
    <row r="962" customFormat="false" ht="15" hidden="false" customHeight="false" outlineLevel="0" collapsed="false">
      <c r="C962" s="40"/>
      <c r="D962" s="40"/>
      <c r="E962" s="40"/>
    </row>
    <row r="963" customFormat="false" ht="15" hidden="false" customHeight="false" outlineLevel="0" collapsed="false">
      <c r="C963" s="40"/>
      <c r="D963" s="40"/>
      <c r="E963" s="40"/>
    </row>
    <row r="964" customFormat="false" ht="15" hidden="false" customHeight="false" outlineLevel="0" collapsed="false">
      <c r="C964" s="40"/>
      <c r="D964" s="40"/>
      <c r="E964" s="40"/>
    </row>
    <row r="965" customFormat="false" ht="15" hidden="false" customHeight="false" outlineLevel="0" collapsed="false">
      <c r="C965" s="40"/>
      <c r="D965" s="40"/>
      <c r="E965" s="40"/>
    </row>
    <row r="966" customFormat="false" ht="15" hidden="false" customHeight="false" outlineLevel="0" collapsed="false">
      <c r="C966" s="40"/>
      <c r="D966" s="40"/>
      <c r="E966" s="40"/>
    </row>
    <row r="967" customFormat="false" ht="15" hidden="false" customHeight="false" outlineLevel="0" collapsed="false">
      <c r="C967" s="40"/>
      <c r="D967" s="40"/>
      <c r="E967" s="40"/>
    </row>
    <row r="968" customFormat="false" ht="15" hidden="false" customHeight="false" outlineLevel="0" collapsed="false">
      <c r="C968" s="40"/>
      <c r="D968" s="40"/>
      <c r="E968" s="40"/>
    </row>
    <row r="969" customFormat="false" ht="15" hidden="false" customHeight="false" outlineLevel="0" collapsed="false">
      <c r="C969" s="40"/>
      <c r="D969" s="40"/>
      <c r="E969" s="40"/>
    </row>
    <row r="970" customFormat="false" ht="15" hidden="false" customHeight="false" outlineLevel="0" collapsed="false">
      <c r="C970" s="40"/>
      <c r="D970" s="40"/>
      <c r="E970" s="40"/>
    </row>
    <row r="971" customFormat="false" ht="15" hidden="false" customHeight="false" outlineLevel="0" collapsed="false">
      <c r="C971" s="40"/>
      <c r="D971" s="40"/>
      <c r="E971" s="40"/>
    </row>
    <row r="972" customFormat="false" ht="15" hidden="false" customHeight="false" outlineLevel="0" collapsed="false">
      <c r="C972" s="40"/>
      <c r="D972" s="40"/>
      <c r="E972" s="40"/>
    </row>
    <row r="973" customFormat="false" ht="15" hidden="false" customHeight="false" outlineLevel="0" collapsed="false">
      <c r="C973" s="40"/>
      <c r="D973" s="40"/>
      <c r="E973" s="40"/>
    </row>
    <row r="974" customFormat="false" ht="15" hidden="false" customHeight="false" outlineLevel="0" collapsed="false">
      <c r="C974" s="40"/>
      <c r="D974" s="40"/>
      <c r="E974" s="40"/>
    </row>
    <row r="975" customFormat="false" ht="15" hidden="false" customHeight="false" outlineLevel="0" collapsed="false">
      <c r="C975" s="40"/>
      <c r="D975" s="40"/>
      <c r="E975" s="40"/>
    </row>
    <row r="976" customFormat="false" ht="15" hidden="false" customHeight="false" outlineLevel="0" collapsed="false">
      <c r="C976" s="40"/>
      <c r="D976" s="40"/>
      <c r="E976" s="40"/>
    </row>
    <row r="977" customFormat="false" ht="15" hidden="false" customHeight="false" outlineLevel="0" collapsed="false">
      <c r="C977" s="40"/>
      <c r="D977" s="40"/>
      <c r="E977" s="40"/>
    </row>
    <row r="978" customFormat="false" ht="15" hidden="false" customHeight="false" outlineLevel="0" collapsed="false">
      <c r="C978" s="40"/>
      <c r="D978" s="40"/>
      <c r="E978" s="40"/>
    </row>
    <row r="979" customFormat="false" ht="15" hidden="false" customHeight="false" outlineLevel="0" collapsed="false">
      <c r="C979" s="40"/>
      <c r="D979" s="40"/>
      <c r="E979" s="40"/>
    </row>
    <row r="980" customFormat="false" ht="15" hidden="false" customHeight="false" outlineLevel="0" collapsed="false">
      <c r="C980" s="40"/>
      <c r="D980" s="40"/>
      <c r="E980" s="40"/>
    </row>
    <row r="981" customFormat="false" ht="15" hidden="false" customHeight="false" outlineLevel="0" collapsed="false">
      <c r="C981" s="40"/>
      <c r="D981" s="40"/>
      <c r="E981" s="40"/>
    </row>
    <row r="982" customFormat="false" ht="15" hidden="false" customHeight="false" outlineLevel="0" collapsed="false">
      <c r="C982" s="40"/>
      <c r="D982" s="40"/>
      <c r="E982" s="40"/>
    </row>
    <row r="983" customFormat="false" ht="15" hidden="false" customHeight="false" outlineLevel="0" collapsed="false">
      <c r="C983" s="40"/>
      <c r="D983" s="40"/>
      <c r="E983" s="40"/>
    </row>
    <row r="984" customFormat="false" ht="15" hidden="false" customHeight="false" outlineLevel="0" collapsed="false">
      <c r="C984" s="40"/>
      <c r="D984" s="40"/>
      <c r="E984" s="40"/>
    </row>
    <row r="985" customFormat="false" ht="15" hidden="false" customHeight="false" outlineLevel="0" collapsed="false">
      <c r="C985" s="40"/>
      <c r="D985" s="40"/>
      <c r="E985" s="40"/>
    </row>
    <row r="986" customFormat="false" ht="15" hidden="false" customHeight="false" outlineLevel="0" collapsed="false">
      <c r="C986" s="40"/>
      <c r="D986" s="40"/>
      <c r="E986" s="40"/>
    </row>
    <row r="987" customFormat="false" ht="15" hidden="false" customHeight="false" outlineLevel="0" collapsed="false">
      <c r="C987" s="40"/>
      <c r="D987" s="40"/>
      <c r="E987" s="40"/>
    </row>
    <row r="988" customFormat="false" ht="15" hidden="false" customHeight="false" outlineLevel="0" collapsed="false">
      <c r="C988" s="40"/>
      <c r="D988" s="40"/>
      <c r="E988" s="40"/>
    </row>
    <row r="989" customFormat="false" ht="15" hidden="false" customHeight="false" outlineLevel="0" collapsed="false">
      <c r="C989" s="40"/>
      <c r="D989" s="40"/>
      <c r="E989" s="40"/>
    </row>
    <row r="990" customFormat="false" ht="15" hidden="false" customHeight="false" outlineLevel="0" collapsed="false">
      <c r="C990" s="40"/>
      <c r="D990" s="40"/>
      <c r="E990" s="40"/>
    </row>
    <row r="991" customFormat="false" ht="15" hidden="false" customHeight="false" outlineLevel="0" collapsed="false">
      <c r="C991" s="40"/>
      <c r="D991" s="40"/>
      <c r="E991" s="40"/>
    </row>
    <row r="992" customFormat="false" ht="15" hidden="false" customHeight="false" outlineLevel="0" collapsed="false">
      <c r="C992" s="40"/>
      <c r="D992" s="40"/>
      <c r="E992" s="40"/>
    </row>
    <row r="993" customFormat="false" ht="15" hidden="false" customHeight="false" outlineLevel="0" collapsed="false">
      <c r="C993" s="40"/>
      <c r="D993" s="40"/>
      <c r="E993" s="40"/>
    </row>
    <row r="994" customFormat="false" ht="15" hidden="false" customHeight="false" outlineLevel="0" collapsed="false">
      <c r="C994" s="40"/>
      <c r="D994" s="40"/>
      <c r="E994" s="40"/>
    </row>
    <row r="995" customFormat="false" ht="15" hidden="false" customHeight="false" outlineLevel="0" collapsed="false">
      <c r="C995" s="40"/>
      <c r="D995" s="40"/>
      <c r="E995" s="40"/>
    </row>
    <row r="996" customFormat="false" ht="15" hidden="false" customHeight="false" outlineLevel="0" collapsed="false">
      <c r="C996" s="40"/>
      <c r="D996" s="40"/>
      <c r="E996" s="40"/>
    </row>
    <row r="997" customFormat="false" ht="15" hidden="false" customHeight="false" outlineLevel="0" collapsed="false">
      <c r="C997" s="40"/>
      <c r="D997" s="40"/>
      <c r="E997" s="40"/>
    </row>
    <row r="998" customFormat="false" ht="15" hidden="false" customHeight="false" outlineLevel="0" collapsed="false">
      <c r="C998" s="40"/>
      <c r="D998" s="40"/>
      <c r="E998" s="40"/>
    </row>
    <row r="999" customFormat="false" ht="15" hidden="false" customHeight="false" outlineLevel="0" collapsed="false">
      <c r="C999" s="40"/>
      <c r="D999" s="40"/>
      <c r="E999" s="40"/>
    </row>
    <row r="1000" customFormat="false" ht="15" hidden="false" customHeight="false" outlineLevel="0" collapsed="false">
      <c r="C1000" s="40"/>
      <c r="D1000" s="40"/>
      <c r="E1000" s="40"/>
    </row>
  </sheetData>
  <autoFilter ref="A1:F1000"/>
  <dataValidations count="4">
    <dataValidation allowBlank="true" error="id must be a whole number &gt;= 1." errorStyle="stop" errorTitle="Invalid id" operator="greaterThanOrEqual" showDropDown="false" showErrorMessage="true" showInputMessage="false" sqref="A2:A1000" type="whole">
      <formula1>1</formula1>
      <formula2>0</formula2>
    </dataValidation>
    <dataValidation allowBlank="true" error="day must look like YYYY-MM-DD." errorStyle="warning" errorTitle="Check format" operator="between" showDropDown="false" showErrorMessage="true" showInputMessage="false" sqref="C2:C1000" type="custom">
      <formula1>OR(C2="",AND(LEN(C2)=10,MID(C2,5,1)="-",MID(C2,8,1)="-"))</formula1>
      <formula2>0</formula2>
    </dataValidation>
    <dataValidation allowBlank="true" error="start / end must look like HH:MM (24h)." errorStyle="warning" errorTitle="Check format" operator="between" showDropDown="false" showErrorMessage="true" showInputMessage="false" sqref="D2:E1000" type="custom">
      <formula1>OR(D2="",AND(LEN(D2)=5,MID(D2,3,1)=":"))</formula1>
      <formula2>0</formula2>
    </dataValidation>
    <dataValidation allowBlank="true" error="WhatsApp ids look like 919876543210@c.us (or ...@lid). Empty is fine for camera items." errorStyle="warning" errorTitle="Check format" operator="between" showDropDown="false" showErrorMessage="true" showInputMessage="false" sqref="F2:F1000" type="custom">
      <formula1>OR(F2="",RIGHT(F2,5)="@c.us",RIGHT(F2,4)="@lid")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10"/>
  </cols>
  <sheetData>
    <row r="1" customFormat="false" ht="21.75" hidden="false" customHeight="true" outlineLevel="0" collapsed="false">
      <c r="A1" s="6" t="s">
        <v>173</v>
      </c>
      <c r="B1" s="6" t="s">
        <v>308</v>
      </c>
      <c r="C1" s="6" t="s">
        <v>313</v>
      </c>
    </row>
    <row r="2" customFormat="false" ht="15" hidden="false" customHeight="false" outlineLevel="0" collapsed="false">
      <c r="A2" s="36" t="s">
        <v>177</v>
      </c>
      <c r="B2" s="36" t="s">
        <v>311</v>
      </c>
      <c r="C2" s="36" t="s">
        <v>643</v>
      </c>
    </row>
    <row r="3" customFormat="false" ht="15" hidden="false" customHeight="false" outlineLevel="0" collapsed="false">
      <c r="A3" s="38" t="s">
        <v>514</v>
      </c>
      <c r="B3" s="38" t="s">
        <v>210</v>
      </c>
      <c r="C3" s="38" t="s">
        <v>224</v>
      </c>
    </row>
    <row r="4" customFormat="false" ht="15" hidden="false" customHeight="false" outlineLevel="0" collapsed="false">
      <c r="A4" s="36" t="s">
        <v>320</v>
      </c>
      <c r="B4" s="36" t="s">
        <v>644</v>
      </c>
      <c r="C4" s="36" t="s">
        <v>643</v>
      </c>
    </row>
    <row r="5" customFormat="false" ht="15" hidden="false" customHeight="false" outlineLevel="0" collapsed="false">
      <c r="A5" s="38" t="s">
        <v>522</v>
      </c>
      <c r="B5" s="38" t="s">
        <v>645</v>
      </c>
      <c r="C5" s="38" t="s">
        <v>224</v>
      </c>
    </row>
    <row r="6" customFormat="false" ht="15" hidden="false" customHeight="false" outlineLevel="0" collapsed="false">
      <c r="A6" s="36" t="s">
        <v>530</v>
      </c>
      <c r="B6" s="36" t="s">
        <v>646</v>
      </c>
      <c r="C6" s="36" t="s">
        <v>643</v>
      </c>
    </row>
    <row r="7" customFormat="false" ht="15" hidden="false" customHeight="false" outlineLevel="0" collapsed="false">
      <c r="A7" s="38" t="s">
        <v>647</v>
      </c>
      <c r="B7" s="38" t="s">
        <v>538</v>
      </c>
      <c r="C7" s="38" t="s">
        <v>643</v>
      </c>
    </row>
  </sheetData>
  <autoFilter ref="A1:C1000"/>
  <dataValidations count="3">
    <dataValidation allowBlank="true" error="Pick a value from the students.level list (see the Lists sheet)." errorStyle="stop" errorTitle="Not in list" operator="between" showDropDown="false" showErrorMessage="true" showInputMessage="false" sqref="C2:C1000" type="list">
      <formula1>Lists!$I$2:$I$3</formula1>
      <formula2>0</formula2>
    </dataValidation>
    <dataValidation allowBlank="true" error="WhatsApp ids look like 919876543210@c.us (or ...@lid). Empty is fine for camera items." errorStyle="warning" errorTitle="Check format" operator="between" showDropDown="false" showErrorMessage="true" showInputMessage="false" sqref="A2:A1000" type="custom">
      <formula1>OR(A2="",RIGHT(A2,5)="@c.us",RIGHT(A2,4)="@lid")</formula1>
      <formula2>0</formula2>
    </dataValidation>
    <dataValidation allowBlank="true" error="Store interests lowercase, comma-separated with NO spaces (dance,music) to match main.py." errorStyle="warning" errorTitle="Check format" operator="between" showDropDown="false" showErrorMessage="true" showInputMessage="false" sqref="B2:B1000" type="custom">
      <formula1>OR(B2="",ISERROR(FIND(", ",B2)))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70"/>
    <col collapsed="false" customWidth="true" hidden="false" outlineLevel="0" max="4" min="4" style="0" width="7"/>
    <col collapsed="false" customWidth="true" hidden="false" outlineLevel="0" max="5" min="5" style="0" width="21"/>
  </cols>
  <sheetData>
    <row r="1" customFormat="false" ht="21.75" hidden="false" customHeight="true" outlineLevel="0" collapsed="false">
      <c r="A1" s="6" t="s">
        <v>132</v>
      </c>
      <c r="B1" s="6" t="s">
        <v>317</v>
      </c>
      <c r="C1" s="6" t="s">
        <v>322</v>
      </c>
      <c r="D1" s="6" t="s">
        <v>325</v>
      </c>
      <c r="E1" s="6" t="s">
        <v>191</v>
      </c>
    </row>
    <row r="2" customFormat="false" ht="35.05" hidden="false" customHeight="false" outlineLevel="0" collapsed="false">
      <c r="A2" s="36" t="n">
        <v>1</v>
      </c>
      <c r="B2" s="36" t="s">
        <v>177</v>
      </c>
      <c r="C2" s="8" t="s">
        <v>648</v>
      </c>
      <c r="D2" s="36" t="n">
        <v>1</v>
      </c>
      <c r="E2" s="37" t="s">
        <v>649</v>
      </c>
    </row>
    <row r="3" customFormat="false" ht="15" hidden="false" customHeight="false" outlineLevel="0" collapsed="false">
      <c r="A3" s="38" t="n">
        <v>2</v>
      </c>
      <c r="B3" s="38" t="s">
        <v>177</v>
      </c>
      <c r="C3" s="34" t="s">
        <v>650</v>
      </c>
      <c r="D3" s="38" t="n">
        <v>1</v>
      </c>
      <c r="E3" s="39" t="s">
        <v>651</v>
      </c>
    </row>
    <row r="4" customFormat="false" ht="15" hidden="false" customHeight="false" outlineLevel="0" collapsed="false">
      <c r="A4" s="36" t="n">
        <v>3</v>
      </c>
      <c r="B4" s="36" t="s">
        <v>514</v>
      </c>
      <c r="C4" s="8" t="s">
        <v>652</v>
      </c>
      <c r="D4" s="36" t="n">
        <v>1</v>
      </c>
      <c r="E4" s="37" t="s">
        <v>653</v>
      </c>
    </row>
    <row r="5" customFormat="false" ht="15" hidden="false" customHeight="false" outlineLevel="0" collapsed="false">
      <c r="A5" s="38" t="n">
        <v>4</v>
      </c>
      <c r="B5" s="38" t="s">
        <v>530</v>
      </c>
      <c r="C5" s="34" t="s">
        <v>652</v>
      </c>
      <c r="D5" s="38" t="n">
        <v>1</v>
      </c>
      <c r="E5" s="39" t="s">
        <v>653</v>
      </c>
    </row>
    <row r="6" customFormat="false" ht="15" hidden="false" customHeight="false" outlineLevel="0" collapsed="false">
      <c r="A6" s="36" t="n">
        <v>5</v>
      </c>
      <c r="B6" s="36" t="s">
        <v>320</v>
      </c>
      <c r="C6" s="8" t="s">
        <v>654</v>
      </c>
      <c r="D6" s="36" t="n">
        <v>0</v>
      </c>
      <c r="E6" s="37" t="s">
        <v>330</v>
      </c>
    </row>
    <row r="7" customFormat="false" ht="15" hidden="false" customHeight="false" outlineLevel="0" collapsed="false">
      <c r="A7" s="38" t="n">
        <v>6</v>
      </c>
      <c r="B7" s="38" t="s">
        <v>611</v>
      </c>
      <c r="C7" s="34" t="s">
        <v>655</v>
      </c>
      <c r="D7" s="38" t="n">
        <v>0</v>
      </c>
      <c r="E7" s="39" t="s">
        <v>656</v>
      </c>
    </row>
    <row r="8" customFormat="false" ht="15" hidden="false" customHeight="false" outlineLevel="0" collapsed="false">
      <c r="E8" s="40"/>
    </row>
    <row r="9" customFormat="false" ht="15" hidden="false" customHeight="false" outlineLevel="0" collapsed="false">
      <c r="E9" s="40"/>
    </row>
    <row r="10" customFormat="false" ht="15" hidden="false" customHeight="false" outlineLevel="0" collapsed="false">
      <c r="E10" s="40"/>
    </row>
    <row r="11" customFormat="false" ht="15" hidden="false" customHeight="false" outlineLevel="0" collapsed="false">
      <c r="E11" s="40"/>
    </row>
    <row r="12" customFormat="false" ht="15" hidden="false" customHeight="false" outlineLevel="0" collapsed="false">
      <c r="E12" s="40"/>
    </row>
    <row r="13" customFormat="false" ht="15" hidden="false" customHeight="false" outlineLevel="0" collapsed="false">
      <c r="E13" s="40"/>
    </row>
    <row r="14" customFormat="false" ht="15" hidden="false" customHeight="false" outlineLevel="0" collapsed="false">
      <c r="E14" s="40"/>
    </row>
    <row r="15" customFormat="false" ht="15" hidden="false" customHeight="false" outlineLevel="0" collapsed="false">
      <c r="E15" s="40"/>
    </row>
    <row r="16" customFormat="false" ht="15" hidden="false" customHeight="false" outlineLevel="0" collapsed="false">
      <c r="E16" s="40"/>
    </row>
    <row r="17" customFormat="false" ht="15" hidden="false" customHeight="false" outlineLevel="0" collapsed="false">
      <c r="E17" s="40"/>
    </row>
    <row r="18" customFormat="false" ht="15" hidden="false" customHeight="false" outlineLevel="0" collapsed="false">
      <c r="E18" s="40"/>
    </row>
    <row r="19" customFormat="false" ht="15" hidden="false" customHeight="false" outlineLevel="0" collapsed="false">
      <c r="E19" s="40"/>
    </row>
    <row r="20" customFormat="false" ht="15" hidden="false" customHeight="false" outlineLevel="0" collapsed="false">
      <c r="E20" s="40"/>
    </row>
    <row r="21" customFormat="false" ht="15" hidden="false" customHeight="false" outlineLevel="0" collapsed="false">
      <c r="E21" s="40"/>
    </row>
    <row r="22" customFormat="false" ht="15" hidden="false" customHeight="false" outlineLevel="0" collapsed="false">
      <c r="E22" s="40"/>
    </row>
    <row r="23" customFormat="false" ht="15" hidden="false" customHeight="false" outlineLevel="0" collapsed="false">
      <c r="E23" s="40"/>
    </row>
    <row r="24" customFormat="false" ht="15" hidden="false" customHeight="false" outlineLevel="0" collapsed="false">
      <c r="E24" s="40"/>
    </row>
    <row r="25" customFormat="false" ht="15" hidden="false" customHeight="false" outlineLevel="0" collapsed="false">
      <c r="E25" s="40"/>
    </row>
    <row r="26" customFormat="false" ht="15" hidden="false" customHeight="false" outlineLevel="0" collapsed="false">
      <c r="E26" s="40"/>
    </row>
    <row r="27" customFormat="false" ht="15" hidden="false" customHeight="false" outlineLevel="0" collapsed="false">
      <c r="E27" s="40"/>
    </row>
    <row r="28" customFormat="false" ht="15" hidden="false" customHeight="false" outlineLevel="0" collapsed="false">
      <c r="E28" s="40"/>
    </row>
    <row r="29" customFormat="false" ht="15" hidden="false" customHeight="false" outlineLevel="0" collapsed="false">
      <c r="E29" s="40"/>
    </row>
    <row r="30" customFormat="false" ht="15" hidden="false" customHeight="false" outlineLevel="0" collapsed="false">
      <c r="E30" s="40"/>
    </row>
    <row r="31" customFormat="false" ht="15" hidden="false" customHeight="false" outlineLevel="0" collapsed="false">
      <c r="E31" s="40"/>
    </row>
    <row r="32" customFormat="false" ht="15" hidden="false" customHeight="false" outlineLevel="0" collapsed="false">
      <c r="E32" s="40"/>
    </row>
    <row r="33" customFormat="false" ht="15" hidden="false" customHeight="false" outlineLevel="0" collapsed="false">
      <c r="E33" s="40"/>
    </row>
    <row r="34" customFormat="false" ht="15" hidden="false" customHeight="false" outlineLevel="0" collapsed="false">
      <c r="E34" s="40"/>
    </row>
    <row r="35" customFormat="false" ht="15" hidden="false" customHeight="false" outlineLevel="0" collapsed="false">
      <c r="E35" s="40"/>
    </row>
    <row r="36" customFormat="false" ht="15" hidden="false" customHeight="false" outlineLevel="0" collapsed="false">
      <c r="E36" s="40"/>
    </row>
    <row r="37" customFormat="false" ht="15" hidden="false" customHeight="false" outlineLevel="0" collapsed="false">
      <c r="E37" s="40"/>
    </row>
    <row r="38" customFormat="false" ht="15" hidden="false" customHeight="false" outlineLevel="0" collapsed="false">
      <c r="E38" s="40"/>
    </row>
    <row r="39" customFormat="false" ht="15" hidden="false" customHeight="false" outlineLevel="0" collapsed="false">
      <c r="E39" s="40"/>
    </row>
    <row r="40" customFormat="false" ht="15" hidden="false" customHeight="false" outlineLevel="0" collapsed="false">
      <c r="E40" s="40"/>
    </row>
    <row r="41" customFormat="false" ht="15" hidden="false" customHeight="false" outlineLevel="0" collapsed="false">
      <c r="E41" s="40"/>
    </row>
    <row r="42" customFormat="false" ht="15" hidden="false" customHeight="false" outlineLevel="0" collapsed="false">
      <c r="E42" s="40"/>
    </row>
    <row r="43" customFormat="false" ht="15" hidden="false" customHeight="false" outlineLevel="0" collapsed="false">
      <c r="E43" s="40"/>
    </row>
    <row r="44" customFormat="false" ht="15" hidden="false" customHeight="false" outlineLevel="0" collapsed="false">
      <c r="E44" s="40"/>
    </row>
    <row r="45" customFormat="false" ht="15" hidden="false" customHeight="false" outlineLevel="0" collapsed="false">
      <c r="E45" s="40"/>
    </row>
    <row r="46" customFormat="false" ht="15" hidden="false" customHeight="false" outlineLevel="0" collapsed="false">
      <c r="E46" s="40"/>
    </row>
    <row r="47" customFormat="false" ht="15" hidden="false" customHeight="false" outlineLevel="0" collapsed="false">
      <c r="E47" s="40"/>
    </row>
    <row r="48" customFormat="false" ht="15" hidden="false" customHeight="false" outlineLevel="0" collapsed="false">
      <c r="E48" s="40"/>
    </row>
    <row r="49" customFormat="false" ht="15" hidden="false" customHeight="false" outlineLevel="0" collapsed="false">
      <c r="E49" s="40"/>
    </row>
    <row r="50" customFormat="false" ht="15" hidden="false" customHeight="false" outlineLevel="0" collapsed="false">
      <c r="E50" s="40"/>
    </row>
    <row r="51" customFormat="false" ht="15" hidden="false" customHeight="false" outlineLevel="0" collapsed="false">
      <c r="E51" s="40"/>
    </row>
    <row r="52" customFormat="false" ht="15" hidden="false" customHeight="false" outlineLevel="0" collapsed="false">
      <c r="E52" s="40"/>
    </row>
    <row r="53" customFormat="false" ht="15" hidden="false" customHeight="false" outlineLevel="0" collapsed="false">
      <c r="E53" s="40"/>
    </row>
    <row r="54" customFormat="false" ht="15" hidden="false" customHeight="false" outlineLevel="0" collapsed="false">
      <c r="E54" s="40"/>
    </row>
    <row r="55" customFormat="false" ht="15" hidden="false" customHeight="false" outlineLevel="0" collapsed="false">
      <c r="E55" s="40"/>
    </row>
    <row r="56" customFormat="false" ht="15" hidden="false" customHeight="false" outlineLevel="0" collapsed="false">
      <c r="E56" s="40"/>
    </row>
    <row r="57" customFormat="false" ht="15" hidden="false" customHeight="false" outlineLevel="0" collapsed="false">
      <c r="E57" s="40"/>
    </row>
    <row r="58" customFormat="false" ht="15" hidden="false" customHeight="false" outlineLevel="0" collapsed="false">
      <c r="E58" s="40"/>
    </row>
    <row r="59" customFormat="false" ht="15" hidden="false" customHeight="false" outlineLevel="0" collapsed="false">
      <c r="E59" s="40"/>
    </row>
    <row r="60" customFormat="false" ht="15" hidden="false" customHeight="false" outlineLevel="0" collapsed="false">
      <c r="E60" s="40"/>
    </row>
    <row r="61" customFormat="false" ht="15" hidden="false" customHeight="false" outlineLevel="0" collapsed="false">
      <c r="E61" s="40"/>
    </row>
    <row r="62" customFormat="false" ht="15" hidden="false" customHeight="false" outlineLevel="0" collapsed="false">
      <c r="E62" s="40"/>
    </row>
    <row r="63" customFormat="false" ht="15" hidden="false" customHeight="false" outlineLevel="0" collapsed="false">
      <c r="E63" s="40"/>
    </row>
    <row r="64" customFormat="false" ht="15" hidden="false" customHeight="false" outlineLevel="0" collapsed="false">
      <c r="E64" s="40"/>
    </row>
    <row r="65" customFormat="false" ht="15" hidden="false" customHeight="false" outlineLevel="0" collapsed="false">
      <c r="E65" s="40"/>
    </row>
    <row r="66" customFormat="false" ht="15" hidden="false" customHeight="false" outlineLevel="0" collapsed="false">
      <c r="E66" s="40"/>
    </row>
    <row r="67" customFormat="false" ht="15" hidden="false" customHeight="false" outlineLevel="0" collapsed="false">
      <c r="E67" s="40"/>
    </row>
    <row r="68" customFormat="false" ht="15" hidden="false" customHeight="false" outlineLevel="0" collapsed="false">
      <c r="E68" s="40"/>
    </row>
    <row r="69" customFormat="false" ht="15" hidden="false" customHeight="false" outlineLevel="0" collapsed="false">
      <c r="E69" s="40"/>
    </row>
    <row r="70" customFormat="false" ht="15" hidden="false" customHeight="false" outlineLevel="0" collapsed="false">
      <c r="E70" s="40"/>
    </row>
    <row r="71" customFormat="false" ht="15" hidden="false" customHeight="false" outlineLevel="0" collapsed="false">
      <c r="E71" s="40"/>
    </row>
    <row r="72" customFormat="false" ht="15" hidden="false" customHeight="false" outlineLevel="0" collapsed="false">
      <c r="E72" s="40"/>
    </row>
    <row r="73" customFormat="false" ht="15" hidden="false" customHeight="false" outlineLevel="0" collapsed="false">
      <c r="E73" s="40"/>
    </row>
    <row r="74" customFormat="false" ht="15" hidden="false" customHeight="false" outlineLevel="0" collapsed="false">
      <c r="E74" s="40"/>
    </row>
    <row r="75" customFormat="false" ht="15" hidden="false" customHeight="false" outlineLevel="0" collapsed="false">
      <c r="E75" s="40"/>
    </row>
    <row r="76" customFormat="false" ht="15" hidden="false" customHeight="false" outlineLevel="0" collapsed="false">
      <c r="E76" s="40"/>
    </row>
    <row r="77" customFormat="false" ht="15" hidden="false" customHeight="false" outlineLevel="0" collapsed="false">
      <c r="E77" s="40"/>
    </row>
    <row r="78" customFormat="false" ht="15" hidden="false" customHeight="false" outlineLevel="0" collapsed="false">
      <c r="E78" s="40"/>
    </row>
    <row r="79" customFormat="false" ht="15" hidden="false" customHeight="false" outlineLevel="0" collapsed="false">
      <c r="E79" s="40"/>
    </row>
    <row r="80" customFormat="false" ht="15" hidden="false" customHeight="false" outlineLevel="0" collapsed="false">
      <c r="E80" s="40"/>
    </row>
    <row r="81" customFormat="false" ht="15" hidden="false" customHeight="false" outlineLevel="0" collapsed="false">
      <c r="E81" s="40"/>
    </row>
    <row r="82" customFormat="false" ht="15" hidden="false" customHeight="false" outlineLevel="0" collapsed="false">
      <c r="E82" s="40"/>
    </row>
    <row r="83" customFormat="false" ht="15" hidden="false" customHeight="false" outlineLevel="0" collapsed="false">
      <c r="E83" s="40"/>
    </row>
    <row r="84" customFormat="false" ht="15" hidden="false" customHeight="false" outlineLevel="0" collapsed="false">
      <c r="E84" s="40"/>
    </row>
    <row r="85" customFormat="false" ht="15" hidden="false" customHeight="false" outlineLevel="0" collapsed="false">
      <c r="E85" s="40"/>
    </row>
    <row r="86" customFormat="false" ht="15" hidden="false" customHeight="false" outlineLevel="0" collapsed="false">
      <c r="E86" s="40"/>
    </row>
    <row r="87" customFormat="false" ht="15" hidden="false" customHeight="false" outlineLevel="0" collapsed="false">
      <c r="E87" s="40"/>
    </row>
    <row r="88" customFormat="false" ht="15" hidden="false" customHeight="false" outlineLevel="0" collapsed="false">
      <c r="E88" s="40"/>
    </row>
    <row r="89" customFormat="false" ht="15" hidden="false" customHeight="false" outlineLevel="0" collapsed="false">
      <c r="E89" s="40"/>
    </row>
    <row r="90" customFormat="false" ht="15" hidden="false" customHeight="false" outlineLevel="0" collapsed="false">
      <c r="E90" s="40"/>
    </row>
    <row r="91" customFormat="false" ht="15" hidden="false" customHeight="false" outlineLevel="0" collapsed="false">
      <c r="E91" s="40"/>
    </row>
    <row r="92" customFormat="false" ht="15" hidden="false" customHeight="false" outlineLevel="0" collapsed="false">
      <c r="E92" s="40"/>
    </row>
    <row r="93" customFormat="false" ht="15" hidden="false" customHeight="false" outlineLevel="0" collapsed="false">
      <c r="E93" s="40"/>
    </row>
    <row r="94" customFormat="false" ht="15" hidden="false" customHeight="false" outlineLevel="0" collapsed="false">
      <c r="E94" s="40"/>
    </row>
    <row r="95" customFormat="false" ht="15" hidden="false" customHeight="false" outlineLevel="0" collapsed="false">
      <c r="E95" s="40"/>
    </row>
    <row r="96" customFormat="false" ht="15" hidden="false" customHeight="false" outlineLevel="0" collapsed="false">
      <c r="E96" s="40"/>
    </row>
    <row r="97" customFormat="false" ht="15" hidden="false" customHeight="false" outlineLevel="0" collapsed="false">
      <c r="E97" s="40"/>
    </row>
    <row r="98" customFormat="false" ht="15" hidden="false" customHeight="false" outlineLevel="0" collapsed="false">
      <c r="E98" s="40"/>
    </row>
    <row r="99" customFormat="false" ht="15" hidden="false" customHeight="false" outlineLevel="0" collapsed="false">
      <c r="E99" s="40"/>
    </row>
    <row r="100" customFormat="false" ht="15" hidden="false" customHeight="false" outlineLevel="0" collapsed="false">
      <c r="E100" s="40"/>
    </row>
    <row r="101" customFormat="false" ht="15" hidden="false" customHeight="false" outlineLevel="0" collapsed="false">
      <c r="E101" s="40"/>
    </row>
    <row r="102" customFormat="false" ht="15" hidden="false" customHeight="false" outlineLevel="0" collapsed="false">
      <c r="E102" s="40"/>
    </row>
    <row r="103" customFormat="false" ht="15" hidden="false" customHeight="false" outlineLevel="0" collapsed="false">
      <c r="E103" s="40"/>
    </row>
    <row r="104" customFormat="false" ht="15" hidden="false" customHeight="false" outlineLevel="0" collapsed="false">
      <c r="E104" s="40"/>
    </row>
    <row r="105" customFormat="false" ht="15" hidden="false" customHeight="false" outlineLevel="0" collapsed="false">
      <c r="E105" s="40"/>
    </row>
    <row r="106" customFormat="false" ht="15" hidden="false" customHeight="false" outlineLevel="0" collapsed="false">
      <c r="E106" s="40"/>
    </row>
    <row r="107" customFormat="false" ht="15" hidden="false" customHeight="false" outlineLevel="0" collapsed="false">
      <c r="E107" s="40"/>
    </row>
    <row r="108" customFormat="false" ht="15" hidden="false" customHeight="false" outlineLevel="0" collapsed="false">
      <c r="E108" s="40"/>
    </row>
    <row r="109" customFormat="false" ht="15" hidden="false" customHeight="false" outlineLevel="0" collapsed="false">
      <c r="E109" s="40"/>
    </row>
    <row r="110" customFormat="false" ht="15" hidden="false" customHeight="false" outlineLevel="0" collapsed="false">
      <c r="E110" s="40"/>
    </row>
    <row r="111" customFormat="false" ht="15" hidden="false" customHeight="false" outlineLevel="0" collapsed="false">
      <c r="E111" s="40"/>
    </row>
    <row r="112" customFormat="false" ht="15" hidden="false" customHeight="false" outlineLevel="0" collapsed="false">
      <c r="E112" s="40"/>
    </row>
    <row r="113" customFormat="false" ht="15" hidden="false" customHeight="false" outlineLevel="0" collapsed="false">
      <c r="E113" s="40"/>
    </row>
    <row r="114" customFormat="false" ht="15" hidden="false" customHeight="false" outlineLevel="0" collapsed="false">
      <c r="E114" s="40"/>
    </row>
    <row r="115" customFormat="false" ht="15" hidden="false" customHeight="false" outlineLevel="0" collapsed="false">
      <c r="E115" s="40"/>
    </row>
    <row r="116" customFormat="false" ht="15" hidden="false" customHeight="false" outlineLevel="0" collapsed="false">
      <c r="E116" s="40"/>
    </row>
    <row r="117" customFormat="false" ht="15" hidden="false" customHeight="false" outlineLevel="0" collapsed="false">
      <c r="E117" s="40"/>
    </row>
    <row r="118" customFormat="false" ht="15" hidden="false" customHeight="false" outlineLevel="0" collapsed="false">
      <c r="E118" s="40"/>
    </row>
    <row r="119" customFormat="false" ht="15" hidden="false" customHeight="false" outlineLevel="0" collapsed="false">
      <c r="E119" s="40"/>
    </row>
    <row r="120" customFormat="false" ht="15" hidden="false" customHeight="false" outlineLevel="0" collapsed="false">
      <c r="E120" s="40"/>
    </row>
    <row r="121" customFormat="false" ht="15" hidden="false" customHeight="false" outlineLevel="0" collapsed="false">
      <c r="E121" s="40"/>
    </row>
    <row r="122" customFormat="false" ht="15" hidden="false" customHeight="false" outlineLevel="0" collapsed="false">
      <c r="E122" s="40"/>
    </row>
    <row r="123" customFormat="false" ht="15" hidden="false" customHeight="false" outlineLevel="0" collapsed="false">
      <c r="E123" s="40"/>
    </row>
    <row r="124" customFormat="false" ht="15" hidden="false" customHeight="false" outlineLevel="0" collapsed="false">
      <c r="E124" s="40"/>
    </row>
    <row r="125" customFormat="false" ht="15" hidden="false" customHeight="false" outlineLevel="0" collapsed="false">
      <c r="E125" s="40"/>
    </row>
    <row r="126" customFormat="false" ht="15" hidden="false" customHeight="false" outlineLevel="0" collapsed="false">
      <c r="E126" s="40"/>
    </row>
    <row r="127" customFormat="false" ht="15" hidden="false" customHeight="false" outlineLevel="0" collapsed="false">
      <c r="E127" s="40"/>
    </row>
    <row r="128" customFormat="false" ht="15" hidden="false" customHeight="false" outlineLevel="0" collapsed="false">
      <c r="E128" s="40"/>
    </row>
    <row r="129" customFormat="false" ht="15" hidden="false" customHeight="false" outlineLevel="0" collapsed="false">
      <c r="E129" s="40"/>
    </row>
    <row r="130" customFormat="false" ht="15" hidden="false" customHeight="false" outlineLevel="0" collapsed="false">
      <c r="E130" s="40"/>
    </row>
    <row r="131" customFormat="false" ht="15" hidden="false" customHeight="false" outlineLevel="0" collapsed="false">
      <c r="E131" s="40"/>
    </row>
    <row r="132" customFormat="false" ht="15" hidden="false" customHeight="false" outlineLevel="0" collapsed="false">
      <c r="E132" s="40"/>
    </row>
    <row r="133" customFormat="false" ht="15" hidden="false" customHeight="false" outlineLevel="0" collapsed="false">
      <c r="E133" s="40"/>
    </row>
    <row r="134" customFormat="false" ht="15" hidden="false" customHeight="false" outlineLevel="0" collapsed="false">
      <c r="E134" s="40"/>
    </row>
    <row r="135" customFormat="false" ht="15" hidden="false" customHeight="false" outlineLevel="0" collapsed="false">
      <c r="E135" s="40"/>
    </row>
    <row r="136" customFormat="false" ht="15" hidden="false" customHeight="false" outlineLevel="0" collapsed="false">
      <c r="E136" s="40"/>
    </row>
    <row r="137" customFormat="false" ht="15" hidden="false" customHeight="false" outlineLevel="0" collapsed="false">
      <c r="E137" s="40"/>
    </row>
    <row r="138" customFormat="false" ht="15" hidden="false" customHeight="false" outlineLevel="0" collapsed="false">
      <c r="E138" s="40"/>
    </row>
    <row r="139" customFormat="false" ht="15" hidden="false" customHeight="false" outlineLevel="0" collapsed="false">
      <c r="E139" s="40"/>
    </row>
    <row r="140" customFormat="false" ht="15" hidden="false" customHeight="false" outlineLevel="0" collapsed="false">
      <c r="E140" s="40"/>
    </row>
    <row r="141" customFormat="false" ht="15" hidden="false" customHeight="false" outlineLevel="0" collapsed="false">
      <c r="E141" s="40"/>
    </row>
    <row r="142" customFormat="false" ht="15" hidden="false" customHeight="false" outlineLevel="0" collapsed="false">
      <c r="E142" s="40"/>
    </row>
    <row r="143" customFormat="false" ht="15" hidden="false" customHeight="false" outlineLevel="0" collapsed="false">
      <c r="E143" s="40"/>
    </row>
    <row r="144" customFormat="false" ht="15" hidden="false" customHeight="false" outlineLevel="0" collapsed="false">
      <c r="E144" s="40"/>
    </row>
    <row r="145" customFormat="false" ht="15" hidden="false" customHeight="false" outlineLevel="0" collapsed="false">
      <c r="E145" s="40"/>
    </row>
    <row r="146" customFormat="false" ht="15" hidden="false" customHeight="false" outlineLevel="0" collapsed="false">
      <c r="E146" s="40"/>
    </row>
    <row r="147" customFormat="false" ht="15" hidden="false" customHeight="false" outlineLevel="0" collapsed="false">
      <c r="E147" s="40"/>
    </row>
    <row r="148" customFormat="false" ht="15" hidden="false" customHeight="false" outlineLevel="0" collapsed="false">
      <c r="E148" s="40"/>
    </row>
    <row r="149" customFormat="false" ht="15" hidden="false" customHeight="false" outlineLevel="0" collapsed="false">
      <c r="E149" s="40"/>
    </row>
    <row r="150" customFormat="false" ht="15" hidden="false" customHeight="false" outlineLevel="0" collapsed="false">
      <c r="E150" s="40"/>
    </row>
    <row r="151" customFormat="false" ht="15" hidden="false" customHeight="false" outlineLevel="0" collapsed="false">
      <c r="E151" s="40"/>
    </row>
    <row r="152" customFormat="false" ht="15" hidden="false" customHeight="false" outlineLevel="0" collapsed="false">
      <c r="E152" s="40"/>
    </row>
    <row r="153" customFormat="false" ht="15" hidden="false" customHeight="false" outlineLevel="0" collapsed="false">
      <c r="E153" s="40"/>
    </row>
    <row r="154" customFormat="false" ht="15" hidden="false" customHeight="false" outlineLevel="0" collapsed="false">
      <c r="E154" s="40"/>
    </row>
    <row r="155" customFormat="false" ht="15" hidden="false" customHeight="false" outlineLevel="0" collapsed="false">
      <c r="E155" s="40"/>
    </row>
    <row r="156" customFormat="false" ht="15" hidden="false" customHeight="false" outlineLevel="0" collapsed="false">
      <c r="E156" s="40"/>
    </row>
    <row r="157" customFormat="false" ht="15" hidden="false" customHeight="false" outlineLevel="0" collapsed="false">
      <c r="E157" s="40"/>
    </row>
    <row r="158" customFormat="false" ht="15" hidden="false" customHeight="false" outlineLevel="0" collapsed="false">
      <c r="E158" s="40"/>
    </row>
    <row r="159" customFormat="false" ht="15" hidden="false" customHeight="false" outlineLevel="0" collapsed="false">
      <c r="E159" s="40"/>
    </row>
    <row r="160" customFormat="false" ht="15" hidden="false" customHeight="false" outlineLevel="0" collapsed="false">
      <c r="E160" s="40"/>
    </row>
    <row r="161" customFormat="false" ht="15" hidden="false" customHeight="false" outlineLevel="0" collapsed="false">
      <c r="E161" s="40"/>
    </row>
    <row r="162" customFormat="false" ht="15" hidden="false" customHeight="false" outlineLevel="0" collapsed="false">
      <c r="E162" s="40"/>
    </row>
    <row r="163" customFormat="false" ht="15" hidden="false" customHeight="false" outlineLevel="0" collapsed="false">
      <c r="E163" s="40"/>
    </row>
    <row r="164" customFormat="false" ht="15" hidden="false" customHeight="false" outlineLevel="0" collapsed="false">
      <c r="E164" s="40"/>
    </row>
    <row r="165" customFormat="false" ht="15" hidden="false" customHeight="false" outlineLevel="0" collapsed="false">
      <c r="E165" s="40"/>
    </row>
    <row r="166" customFormat="false" ht="15" hidden="false" customHeight="false" outlineLevel="0" collapsed="false">
      <c r="E166" s="40"/>
    </row>
    <row r="167" customFormat="false" ht="15" hidden="false" customHeight="false" outlineLevel="0" collapsed="false">
      <c r="E167" s="40"/>
    </row>
    <row r="168" customFormat="false" ht="15" hidden="false" customHeight="false" outlineLevel="0" collapsed="false">
      <c r="E168" s="40"/>
    </row>
    <row r="169" customFormat="false" ht="15" hidden="false" customHeight="false" outlineLevel="0" collapsed="false">
      <c r="E169" s="40"/>
    </row>
    <row r="170" customFormat="false" ht="15" hidden="false" customHeight="false" outlineLevel="0" collapsed="false">
      <c r="E170" s="40"/>
    </row>
    <row r="171" customFormat="false" ht="15" hidden="false" customHeight="false" outlineLevel="0" collapsed="false">
      <c r="E171" s="40"/>
    </row>
    <row r="172" customFormat="false" ht="15" hidden="false" customHeight="false" outlineLevel="0" collapsed="false">
      <c r="E172" s="40"/>
    </row>
    <row r="173" customFormat="false" ht="15" hidden="false" customHeight="false" outlineLevel="0" collapsed="false">
      <c r="E173" s="40"/>
    </row>
    <row r="174" customFormat="false" ht="15" hidden="false" customHeight="false" outlineLevel="0" collapsed="false">
      <c r="E174" s="40"/>
    </row>
    <row r="175" customFormat="false" ht="15" hidden="false" customHeight="false" outlineLevel="0" collapsed="false">
      <c r="E175" s="40"/>
    </row>
    <row r="176" customFormat="false" ht="15" hidden="false" customHeight="false" outlineLevel="0" collapsed="false">
      <c r="E176" s="40"/>
    </row>
    <row r="177" customFormat="false" ht="15" hidden="false" customHeight="false" outlineLevel="0" collapsed="false">
      <c r="E177" s="40"/>
    </row>
    <row r="178" customFormat="false" ht="15" hidden="false" customHeight="false" outlineLevel="0" collapsed="false">
      <c r="E178" s="40"/>
    </row>
    <row r="179" customFormat="false" ht="15" hidden="false" customHeight="false" outlineLevel="0" collapsed="false">
      <c r="E179" s="40"/>
    </row>
    <row r="180" customFormat="false" ht="15" hidden="false" customHeight="false" outlineLevel="0" collapsed="false">
      <c r="E180" s="40"/>
    </row>
    <row r="181" customFormat="false" ht="15" hidden="false" customHeight="false" outlineLevel="0" collapsed="false">
      <c r="E181" s="40"/>
    </row>
    <row r="182" customFormat="false" ht="15" hidden="false" customHeight="false" outlineLevel="0" collapsed="false">
      <c r="E182" s="40"/>
    </row>
    <row r="183" customFormat="false" ht="15" hidden="false" customHeight="false" outlineLevel="0" collapsed="false">
      <c r="E183" s="40"/>
    </row>
    <row r="184" customFormat="false" ht="15" hidden="false" customHeight="false" outlineLevel="0" collapsed="false">
      <c r="E184" s="40"/>
    </row>
    <row r="185" customFormat="false" ht="15" hidden="false" customHeight="false" outlineLevel="0" collapsed="false">
      <c r="E185" s="40"/>
    </row>
    <row r="186" customFormat="false" ht="15" hidden="false" customHeight="false" outlineLevel="0" collapsed="false">
      <c r="E186" s="40"/>
    </row>
    <row r="187" customFormat="false" ht="15" hidden="false" customHeight="false" outlineLevel="0" collapsed="false">
      <c r="E187" s="40"/>
    </row>
    <row r="188" customFormat="false" ht="15" hidden="false" customHeight="false" outlineLevel="0" collapsed="false">
      <c r="E188" s="40"/>
    </row>
    <row r="189" customFormat="false" ht="15" hidden="false" customHeight="false" outlineLevel="0" collapsed="false">
      <c r="E189" s="40"/>
    </row>
    <row r="190" customFormat="false" ht="15" hidden="false" customHeight="false" outlineLevel="0" collapsed="false">
      <c r="E190" s="40"/>
    </row>
    <row r="191" customFormat="false" ht="15" hidden="false" customHeight="false" outlineLevel="0" collapsed="false">
      <c r="E191" s="40"/>
    </row>
    <row r="192" customFormat="false" ht="15" hidden="false" customHeight="false" outlineLevel="0" collapsed="false">
      <c r="E192" s="40"/>
    </row>
    <row r="193" customFormat="false" ht="15" hidden="false" customHeight="false" outlineLevel="0" collapsed="false">
      <c r="E193" s="40"/>
    </row>
    <row r="194" customFormat="false" ht="15" hidden="false" customHeight="false" outlineLevel="0" collapsed="false">
      <c r="E194" s="40"/>
    </row>
    <row r="195" customFormat="false" ht="15" hidden="false" customHeight="false" outlineLevel="0" collapsed="false">
      <c r="E195" s="40"/>
    </row>
    <row r="196" customFormat="false" ht="15" hidden="false" customHeight="false" outlineLevel="0" collapsed="false">
      <c r="E196" s="40"/>
    </row>
    <row r="197" customFormat="false" ht="15" hidden="false" customHeight="false" outlineLevel="0" collapsed="false">
      <c r="E197" s="40"/>
    </row>
    <row r="198" customFormat="false" ht="15" hidden="false" customHeight="false" outlineLevel="0" collapsed="false">
      <c r="E198" s="40"/>
    </row>
    <row r="199" customFormat="false" ht="15" hidden="false" customHeight="false" outlineLevel="0" collapsed="false">
      <c r="E199" s="40"/>
    </row>
    <row r="200" customFormat="false" ht="15" hidden="false" customHeight="false" outlineLevel="0" collapsed="false">
      <c r="E200" s="40"/>
    </row>
    <row r="201" customFormat="false" ht="15" hidden="false" customHeight="false" outlineLevel="0" collapsed="false">
      <c r="E201" s="40"/>
    </row>
    <row r="202" customFormat="false" ht="15" hidden="false" customHeight="false" outlineLevel="0" collapsed="false">
      <c r="E202" s="40"/>
    </row>
    <row r="203" customFormat="false" ht="15" hidden="false" customHeight="false" outlineLevel="0" collapsed="false">
      <c r="E203" s="40"/>
    </row>
    <row r="204" customFormat="false" ht="15" hidden="false" customHeight="false" outlineLevel="0" collapsed="false">
      <c r="E204" s="40"/>
    </row>
    <row r="205" customFormat="false" ht="15" hidden="false" customHeight="false" outlineLevel="0" collapsed="false">
      <c r="E205" s="40"/>
    </row>
    <row r="206" customFormat="false" ht="15" hidden="false" customHeight="false" outlineLevel="0" collapsed="false">
      <c r="E206" s="40"/>
    </row>
    <row r="207" customFormat="false" ht="15" hidden="false" customHeight="false" outlineLevel="0" collapsed="false">
      <c r="E207" s="40"/>
    </row>
    <row r="208" customFormat="false" ht="15" hidden="false" customHeight="false" outlineLevel="0" collapsed="false">
      <c r="E208" s="40"/>
    </row>
    <row r="209" customFormat="false" ht="15" hidden="false" customHeight="false" outlineLevel="0" collapsed="false">
      <c r="E209" s="40"/>
    </row>
    <row r="210" customFormat="false" ht="15" hidden="false" customHeight="false" outlineLevel="0" collapsed="false">
      <c r="E210" s="40"/>
    </row>
    <row r="211" customFormat="false" ht="15" hidden="false" customHeight="false" outlineLevel="0" collapsed="false">
      <c r="E211" s="40"/>
    </row>
    <row r="212" customFormat="false" ht="15" hidden="false" customHeight="false" outlineLevel="0" collapsed="false">
      <c r="E212" s="40"/>
    </row>
    <row r="213" customFormat="false" ht="15" hidden="false" customHeight="false" outlineLevel="0" collapsed="false">
      <c r="E213" s="40"/>
    </row>
    <row r="214" customFormat="false" ht="15" hidden="false" customHeight="false" outlineLevel="0" collapsed="false">
      <c r="E214" s="40"/>
    </row>
    <row r="215" customFormat="false" ht="15" hidden="false" customHeight="false" outlineLevel="0" collapsed="false">
      <c r="E215" s="40"/>
    </row>
    <row r="216" customFormat="false" ht="15" hidden="false" customHeight="false" outlineLevel="0" collapsed="false">
      <c r="E216" s="40"/>
    </row>
    <row r="217" customFormat="false" ht="15" hidden="false" customHeight="false" outlineLevel="0" collapsed="false">
      <c r="E217" s="40"/>
    </row>
    <row r="218" customFormat="false" ht="15" hidden="false" customHeight="false" outlineLevel="0" collapsed="false">
      <c r="E218" s="40"/>
    </row>
    <row r="219" customFormat="false" ht="15" hidden="false" customHeight="false" outlineLevel="0" collapsed="false">
      <c r="E219" s="40"/>
    </row>
    <row r="220" customFormat="false" ht="15" hidden="false" customHeight="false" outlineLevel="0" collapsed="false">
      <c r="E220" s="40"/>
    </row>
    <row r="221" customFormat="false" ht="15" hidden="false" customHeight="false" outlineLevel="0" collapsed="false">
      <c r="E221" s="40"/>
    </row>
    <row r="222" customFormat="false" ht="15" hidden="false" customHeight="false" outlineLevel="0" collapsed="false">
      <c r="E222" s="40"/>
    </row>
    <row r="223" customFormat="false" ht="15" hidden="false" customHeight="false" outlineLevel="0" collapsed="false">
      <c r="E223" s="40"/>
    </row>
    <row r="224" customFormat="false" ht="15" hidden="false" customHeight="false" outlineLevel="0" collapsed="false">
      <c r="E224" s="40"/>
    </row>
    <row r="225" customFormat="false" ht="15" hidden="false" customHeight="false" outlineLevel="0" collapsed="false">
      <c r="E225" s="40"/>
    </row>
    <row r="226" customFormat="false" ht="15" hidden="false" customHeight="false" outlineLevel="0" collapsed="false">
      <c r="E226" s="40"/>
    </row>
    <row r="227" customFormat="false" ht="15" hidden="false" customHeight="false" outlineLevel="0" collapsed="false">
      <c r="E227" s="40"/>
    </row>
    <row r="228" customFormat="false" ht="15" hidden="false" customHeight="false" outlineLevel="0" collapsed="false">
      <c r="E228" s="40"/>
    </row>
    <row r="229" customFormat="false" ht="15" hidden="false" customHeight="false" outlineLevel="0" collapsed="false">
      <c r="E229" s="40"/>
    </row>
    <row r="230" customFormat="false" ht="15" hidden="false" customHeight="false" outlineLevel="0" collapsed="false">
      <c r="E230" s="40"/>
    </row>
    <row r="231" customFormat="false" ht="15" hidden="false" customHeight="false" outlineLevel="0" collapsed="false">
      <c r="E231" s="40"/>
    </row>
    <row r="232" customFormat="false" ht="15" hidden="false" customHeight="false" outlineLevel="0" collapsed="false">
      <c r="E232" s="40"/>
    </row>
    <row r="233" customFormat="false" ht="15" hidden="false" customHeight="false" outlineLevel="0" collapsed="false">
      <c r="E233" s="40"/>
    </row>
    <row r="234" customFormat="false" ht="15" hidden="false" customHeight="false" outlineLevel="0" collapsed="false">
      <c r="E234" s="40"/>
    </row>
    <row r="235" customFormat="false" ht="15" hidden="false" customHeight="false" outlineLevel="0" collapsed="false">
      <c r="E235" s="40"/>
    </row>
    <row r="236" customFormat="false" ht="15" hidden="false" customHeight="false" outlineLevel="0" collapsed="false">
      <c r="E236" s="40"/>
    </row>
    <row r="237" customFormat="false" ht="15" hidden="false" customHeight="false" outlineLevel="0" collapsed="false">
      <c r="E237" s="40"/>
    </row>
    <row r="238" customFormat="false" ht="15" hidden="false" customHeight="false" outlineLevel="0" collapsed="false">
      <c r="E238" s="40"/>
    </row>
    <row r="239" customFormat="false" ht="15" hidden="false" customHeight="false" outlineLevel="0" collapsed="false">
      <c r="E239" s="40"/>
    </row>
    <row r="240" customFormat="false" ht="15" hidden="false" customHeight="false" outlineLevel="0" collapsed="false">
      <c r="E240" s="40"/>
    </row>
    <row r="241" customFormat="false" ht="15" hidden="false" customHeight="false" outlineLevel="0" collapsed="false">
      <c r="E241" s="40"/>
    </row>
    <row r="242" customFormat="false" ht="15" hidden="false" customHeight="false" outlineLevel="0" collapsed="false">
      <c r="E242" s="40"/>
    </row>
    <row r="243" customFormat="false" ht="15" hidden="false" customHeight="false" outlineLevel="0" collapsed="false">
      <c r="E243" s="40"/>
    </row>
    <row r="244" customFormat="false" ht="15" hidden="false" customHeight="false" outlineLevel="0" collapsed="false">
      <c r="E244" s="40"/>
    </row>
    <row r="245" customFormat="false" ht="15" hidden="false" customHeight="false" outlineLevel="0" collapsed="false">
      <c r="E245" s="40"/>
    </row>
    <row r="246" customFormat="false" ht="15" hidden="false" customHeight="false" outlineLevel="0" collapsed="false">
      <c r="E246" s="40"/>
    </row>
    <row r="247" customFormat="false" ht="15" hidden="false" customHeight="false" outlineLevel="0" collapsed="false">
      <c r="E247" s="40"/>
    </row>
    <row r="248" customFormat="false" ht="15" hidden="false" customHeight="false" outlineLevel="0" collapsed="false">
      <c r="E248" s="40"/>
    </row>
    <row r="249" customFormat="false" ht="15" hidden="false" customHeight="false" outlineLevel="0" collapsed="false">
      <c r="E249" s="40"/>
    </row>
    <row r="250" customFormat="false" ht="15" hidden="false" customHeight="false" outlineLevel="0" collapsed="false">
      <c r="E250" s="40"/>
    </row>
    <row r="251" customFormat="false" ht="15" hidden="false" customHeight="false" outlineLevel="0" collapsed="false">
      <c r="E251" s="40"/>
    </row>
    <row r="252" customFormat="false" ht="15" hidden="false" customHeight="false" outlineLevel="0" collapsed="false">
      <c r="E252" s="40"/>
    </row>
    <row r="253" customFormat="false" ht="15" hidden="false" customHeight="false" outlineLevel="0" collapsed="false">
      <c r="E253" s="40"/>
    </row>
    <row r="254" customFormat="false" ht="15" hidden="false" customHeight="false" outlineLevel="0" collapsed="false">
      <c r="E254" s="40"/>
    </row>
    <row r="255" customFormat="false" ht="15" hidden="false" customHeight="false" outlineLevel="0" collapsed="false">
      <c r="E255" s="40"/>
    </row>
    <row r="256" customFormat="false" ht="15" hidden="false" customHeight="false" outlineLevel="0" collapsed="false">
      <c r="E256" s="40"/>
    </row>
    <row r="257" customFormat="false" ht="15" hidden="false" customHeight="false" outlineLevel="0" collapsed="false">
      <c r="E257" s="40"/>
    </row>
    <row r="258" customFormat="false" ht="15" hidden="false" customHeight="false" outlineLevel="0" collapsed="false">
      <c r="E258" s="40"/>
    </row>
    <row r="259" customFormat="false" ht="15" hidden="false" customHeight="false" outlineLevel="0" collapsed="false">
      <c r="E259" s="40"/>
    </row>
    <row r="260" customFormat="false" ht="15" hidden="false" customHeight="false" outlineLevel="0" collapsed="false">
      <c r="E260" s="40"/>
    </row>
    <row r="261" customFormat="false" ht="15" hidden="false" customHeight="false" outlineLevel="0" collapsed="false">
      <c r="E261" s="40"/>
    </row>
    <row r="262" customFormat="false" ht="15" hidden="false" customHeight="false" outlineLevel="0" collapsed="false">
      <c r="E262" s="40"/>
    </row>
    <row r="263" customFormat="false" ht="15" hidden="false" customHeight="false" outlineLevel="0" collapsed="false">
      <c r="E263" s="40"/>
    </row>
    <row r="264" customFormat="false" ht="15" hidden="false" customHeight="false" outlineLevel="0" collapsed="false">
      <c r="E264" s="40"/>
    </row>
    <row r="265" customFormat="false" ht="15" hidden="false" customHeight="false" outlineLevel="0" collapsed="false">
      <c r="E265" s="40"/>
    </row>
    <row r="266" customFormat="false" ht="15" hidden="false" customHeight="false" outlineLevel="0" collapsed="false">
      <c r="E266" s="40"/>
    </row>
    <row r="267" customFormat="false" ht="15" hidden="false" customHeight="false" outlineLevel="0" collapsed="false">
      <c r="E267" s="40"/>
    </row>
    <row r="268" customFormat="false" ht="15" hidden="false" customHeight="false" outlineLevel="0" collapsed="false">
      <c r="E268" s="40"/>
    </row>
    <row r="269" customFormat="false" ht="15" hidden="false" customHeight="false" outlineLevel="0" collapsed="false">
      <c r="E269" s="40"/>
    </row>
    <row r="270" customFormat="false" ht="15" hidden="false" customHeight="false" outlineLevel="0" collapsed="false">
      <c r="E270" s="40"/>
    </row>
    <row r="271" customFormat="false" ht="15" hidden="false" customHeight="false" outlineLevel="0" collapsed="false">
      <c r="E271" s="40"/>
    </row>
    <row r="272" customFormat="false" ht="15" hidden="false" customHeight="false" outlineLevel="0" collapsed="false">
      <c r="E272" s="40"/>
    </row>
    <row r="273" customFormat="false" ht="15" hidden="false" customHeight="false" outlineLevel="0" collapsed="false">
      <c r="E273" s="40"/>
    </row>
    <row r="274" customFormat="false" ht="15" hidden="false" customHeight="false" outlineLevel="0" collapsed="false">
      <c r="E274" s="40"/>
    </row>
    <row r="275" customFormat="false" ht="15" hidden="false" customHeight="false" outlineLevel="0" collapsed="false">
      <c r="E275" s="40"/>
    </row>
    <row r="276" customFormat="false" ht="15" hidden="false" customHeight="false" outlineLevel="0" collapsed="false">
      <c r="E276" s="40"/>
    </row>
    <row r="277" customFormat="false" ht="15" hidden="false" customHeight="false" outlineLevel="0" collapsed="false">
      <c r="E277" s="40"/>
    </row>
    <row r="278" customFormat="false" ht="15" hidden="false" customHeight="false" outlineLevel="0" collapsed="false">
      <c r="E278" s="40"/>
    </row>
    <row r="279" customFormat="false" ht="15" hidden="false" customHeight="false" outlineLevel="0" collapsed="false">
      <c r="E279" s="40"/>
    </row>
    <row r="280" customFormat="false" ht="15" hidden="false" customHeight="false" outlineLevel="0" collapsed="false">
      <c r="E280" s="40"/>
    </row>
    <row r="281" customFormat="false" ht="15" hidden="false" customHeight="false" outlineLevel="0" collapsed="false">
      <c r="E281" s="40"/>
    </row>
    <row r="282" customFormat="false" ht="15" hidden="false" customHeight="false" outlineLevel="0" collapsed="false">
      <c r="E282" s="40"/>
    </row>
    <row r="283" customFormat="false" ht="15" hidden="false" customHeight="false" outlineLevel="0" collapsed="false">
      <c r="E283" s="40"/>
    </row>
    <row r="284" customFormat="false" ht="15" hidden="false" customHeight="false" outlineLevel="0" collapsed="false">
      <c r="E284" s="40"/>
    </row>
    <row r="285" customFormat="false" ht="15" hidden="false" customHeight="false" outlineLevel="0" collapsed="false">
      <c r="E285" s="40"/>
    </row>
    <row r="286" customFormat="false" ht="15" hidden="false" customHeight="false" outlineLevel="0" collapsed="false">
      <c r="E286" s="40"/>
    </row>
    <row r="287" customFormat="false" ht="15" hidden="false" customHeight="false" outlineLevel="0" collapsed="false">
      <c r="E287" s="40"/>
    </row>
    <row r="288" customFormat="false" ht="15" hidden="false" customHeight="false" outlineLevel="0" collapsed="false">
      <c r="E288" s="40"/>
    </row>
    <row r="289" customFormat="false" ht="15" hidden="false" customHeight="false" outlineLevel="0" collapsed="false">
      <c r="E289" s="40"/>
    </row>
    <row r="290" customFormat="false" ht="15" hidden="false" customHeight="false" outlineLevel="0" collapsed="false">
      <c r="E290" s="40"/>
    </row>
    <row r="291" customFormat="false" ht="15" hidden="false" customHeight="false" outlineLevel="0" collapsed="false">
      <c r="E291" s="40"/>
    </row>
    <row r="292" customFormat="false" ht="15" hidden="false" customHeight="false" outlineLevel="0" collapsed="false">
      <c r="E292" s="40"/>
    </row>
    <row r="293" customFormat="false" ht="15" hidden="false" customHeight="false" outlineLevel="0" collapsed="false">
      <c r="E293" s="40"/>
    </row>
    <row r="294" customFormat="false" ht="15" hidden="false" customHeight="false" outlineLevel="0" collapsed="false">
      <c r="E294" s="40"/>
    </row>
    <row r="295" customFormat="false" ht="15" hidden="false" customHeight="false" outlineLevel="0" collapsed="false">
      <c r="E295" s="40"/>
    </row>
    <row r="296" customFormat="false" ht="15" hidden="false" customHeight="false" outlineLevel="0" collapsed="false">
      <c r="E296" s="40"/>
    </row>
    <row r="297" customFormat="false" ht="15" hidden="false" customHeight="false" outlineLevel="0" collapsed="false">
      <c r="E297" s="40"/>
    </row>
    <row r="298" customFormat="false" ht="15" hidden="false" customHeight="false" outlineLevel="0" collapsed="false">
      <c r="E298" s="40"/>
    </row>
    <row r="299" customFormat="false" ht="15" hidden="false" customHeight="false" outlineLevel="0" collapsed="false">
      <c r="E299" s="40"/>
    </row>
    <row r="300" customFormat="false" ht="15" hidden="false" customHeight="false" outlineLevel="0" collapsed="false">
      <c r="E300" s="40"/>
    </row>
    <row r="301" customFormat="false" ht="15" hidden="false" customHeight="false" outlineLevel="0" collapsed="false">
      <c r="E301" s="40"/>
    </row>
    <row r="302" customFormat="false" ht="15" hidden="false" customHeight="false" outlineLevel="0" collapsed="false">
      <c r="E302" s="40"/>
    </row>
    <row r="303" customFormat="false" ht="15" hidden="false" customHeight="false" outlineLevel="0" collapsed="false">
      <c r="E303" s="40"/>
    </row>
    <row r="304" customFormat="false" ht="15" hidden="false" customHeight="false" outlineLevel="0" collapsed="false">
      <c r="E304" s="40"/>
    </row>
    <row r="305" customFormat="false" ht="15" hidden="false" customHeight="false" outlineLevel="0" collapsed="false">
      <c r="E305" s="40"/>
    </row>
    <row r="306" customFormat="false" ht="15" hidden="false" customHeight="false" outlineLevel="0" collapsed="false">
      <c r="E306" s="40"/>
    </row>
    <row r="307" customFormat="false" ht="15" hidden="false" customHeight="false" outlineLevel="0" collapsed="false">
      <c r="E307" s="40"/>
    </row>
    <row r="308" customFormat="false" ht="15" hidden="false" customHeight="false" outlineLevel="0" collapsed="false">
      <c r="E308" s="40"/>
    </row>
    <row r="309" customFormat="false" ht="15" hidden="false" customHeight="false" outlineLevel="0" collapsed="false">
      <c r="E309" s="40"/>
    </row>
    <row r="310" customFormat="false" ht="15" hidden="false" customHeight="false" outlineLevel="0" collapsed="false">
      <c r="E310" s="40"/>
    </row>
    <row r="311" customFormat="false" ht="15" hidden="false" customHeight="false" outlineLevel="0" collapsed="false">
      <c r="E311" s="40"/>
    </row>
    <row r="312" customFormat="false" ht="15" hidden="false" customHeight="false" outlineLevel="0" collapsed="false">
      <c r="E312" s="40"/>
    </row>
    <row r="313" customFormat="false" ht="15" hidden="false" customHeight="false" outlineLevel="0" collapsed="false">
      <c r="E313" s="40"/>
    </row>
    <row r="314" customFormat="false" ht="15" hidden="false" customHeight="false" outlineLevel="0" collapsed="false">
      <c r="E314" s="40"/>
    </row>
    <row r="315" customFormat="false" ht="15" hidden="false" customHeight="false" outlineLevel="0" collapsed="false">
      <c r="E315" s="40"/>
    </row>
    <row r="316" customFormat="false" ht="15" hidden="false" customHeight="false" outlineLevel="0" collapsed="false">
      <c r="E316" s="40"/>
    </row>
    <row r="317" customFormat="false" ht="15" hidden="false" customHeight="false" outlineLevel="0" collapsed="false">
      <c r="E317" s="40"/>
    </row>
    <row r="318" customFormat="false" ht="15" hidden="false" customHeight="false" outlineLevel="0" collapsed="false">
      <c r="E318" s="40"/>
    </row>
    <row r="319" customFormat="false" ht="15" hidden="false" customHeight="false" outlineLevel="0" collapsed="false">
      <c r="E319" s="40"/>
    </row>
    <row r="320" customFormat="false" ht="15" hidden="false" customHeight="false" outlineLevel="0" collapsed="false">
      <c r="E320" s="40"/>
    </row>
    <row r="321" customFormat="false" ht="15" hidden="false" customHeight="false" outlineLevel="0" collapsed="false">
      <c r="E321" s="40"/>
    </row>
    <row r="322" customFormat="false" ht="15" hidden="false" customHeight="false" outlineLevel="0" collapsed="false">
      <c r="E322" s="40"/>
    </row>
    <row r="323" customFormat="false" ht="15" hidden="false" customHeight="false" outlineLevel="0" collapsed="false">
      <c r="E323" s="40"/>
    </row>
    <row r="324" customFormat="false" ht="15" hidden="false" customHeight="false" outlineLevel="0" collapsed="false">
      <c r="E324" s="40"/>
    </row>
    <row r="325" customFormat="false" ht="15" hidden="false" customHeight="false" outlineLevel="0" collapsed="false">
      <c r="E325" s="40"/>
    </row>
    <row r="326" customFormat="false" ht="15" hidden="false" customHeight="false" outlineLevel="0" collapsed="false">
      <c r="E326" s="40"/>
    </row>
    <row r="327" customFormat="false" ht="15" hidden="false" customHeight="false" outlineLevel="0" collapsed="false">
      <c r="E327" s="40"/>
    </row>
    <row r="328" customFormat="false" ht="15" hidden="false" customHeight="false" outlineLevel="0" collapsed="false">
      <c r="E328" s="40"/>
    </row>
    <row r="329" customFormat="false" ht="15" hidden="false" customHeight="false" outlineLevel="0" collapsed="false">
      <c r="E329" s="40"/>
    </row>
    <row r="330" customFormat="false" ht="15" hidden="false" customHeight="false" outlineLevel="0" collapsed="false">
      <c r="E330" s="40"/>
    </row>
    <row r="331" customFormat="false" ht="15" hidden="false" customHeight="false" outlineLevel="0" collapsed="false">
      <c r="E331" s="40"/>
    </row>
    <row r="332" customFormat="false" ht="15" hidden="false" customHeight="false" outlineLevel="0" collapsed="false">
      <c r="E332" s="40"/>
    </row>
    <row r="333" customFormat="false" ht="15" hidden="false" customHeight="false" outlineLevel="0" collapsed="false">
      <c r="E333" s="40"/>
    </row>
    <row r="334" customFormat="false" ht="15" hidden="false" customHeight="false" outlineLevel="0" collapsed="false">
      <c r="E334" s="40"/>
    </row>
    <row r="335" customFormat="false" ht="15" hidden="false" customHeight="false" outlineLevel="0" collapsed="false">
      <c r="E335" s="40"/>
    </row>
    <row r="336" customFormat="false" ht="15" hidden="false" customHeight="false" outlineLevel="0" collapsed="false">
      <c r="E336" s="40"/>
    </row>
    <row r="337" customFormat="false" ht="15" hidden="false" customHeight="false" outlineLevel="0" collapsed="false">
      <c r="E337" s="40"/>
    </row>
    <row r="338" customFormat="false" ht="15" hidden="false" customHeight="false" outlineLevel="0" collapsed="false">
      <c r="E338" s="40"/>
    </row>
    <row r="339" customFormat="false" ht="15" hidden="false" customHeight="false" outlineLevel="0" collapsed="false">
      <c r="E339" s="40"/>
    </row>
    <row r="340" customFormat="false" ht="15" hidden="false" customHeight="false" outlineLevel="0" collapsed="false">
      <c r="E340" s="40"/>
    </row>
    <row r="341" customFormat="false" ht="15" hidden="false" customHeight="false" outlineLevel="0" collapsed="false">
      <c r="E341" s="40"/>
    </row>
    <row r="342" customFormat="false" ht="15" hidden="false" customHeight="false" outlineLevel="0" collapsed="false">
      <c r="E342" s="40"/>
    </row>
    <row r="343" customFormat="false" ht="15" hidden="false" customHeight="false" outlineLevel="0" collapsed="false">
      <c r="E343" s="40"/>
    </row>
    <row r="344" customFormat="false" ht="15" hidden="false" customHeight="false" outlineLevel="0" collapsed="false">
      <c r="E344" s="40"/>
    </row>
    <row r="345" customFormat="false" ht="15" hidden="false" customHeight="false" outlineLevel="0" collapsed="false">
      <c r="E345" s="40"/>
    </row>
    <row r="346" customFormat="false" ht="15" hidden="false" customHeight="false" outlineLevel="0" collapsed="false">
      <c r="E346" s="40"/>
    </row>
    <row r="347" customFormat="false" ht="15" hidden="false" customHeight="false" outlineLevel="0" collapsed="false">
      <c r="E347" s="40"/>
    </row>
    <row r="348" customFormat="false" ht="15" hidden="false" customHeight="false" outlineLevel="0" collapsed="false">
      <c r="E348" s="40"/>
    </row>
    <row r="349" customFormat="false" ht="15" hidden="false" customHeight="false" outlineLevel="0" collapsed="false">
      <c r="E349" s="40"/>
    </row>
    <row r="350" customFormat="false" ht="15" hidden="false" customHeight="false" outlineLevel="0" collapsed="false">
      <c r="E350" s="40"/>
    </row>
    <row r="351" customFormat="false" ht="15" hidden="false" customHeight="false" outlineLevel="0" collapsed="false">
      <c r="E351" s="40"/>
    </row>
    <row r="352" customFormat="false" ht="15" hidden="false" customHeight="false" outlineLevel="0" collapsed="false">
      <c r="E352" s="40"/>
    </row>
    <row r="353" customFormat="false" ht="15" hidden="false" customHeight="false" outlineLevel="0" collapsed="false">
      <c r="E353" s="40"/>
    </row>
    <row r="354" customFormat="false" ht="15" hidden="false" customHeight="false" outlineLevel="0" collapsed="false">
      <c r="E354" s="40"/>
    </row>
    <row r="355" customFormat="false" ht="15" hidden="false" customHeight="false" outlineLevel="0" collapsed="false">
      <c r="E355" s="40"/>
    </row>
    <row r="356" customFormat="false" ht="15" hidden="false" customHeight="false" outlineLevel="0" collapsed="false">
      <c r="E356" s="40"/>
    </row>
    <row r="357" customFormat="false" ht="15" hidden="false" customHeight="false" outlineLevel="0" collapsed="false">
      <c r="E357" s="40"/>
    </row>
    <row r="358" customFormat="false" ht="15" hidden="false" customHeight="false" outlineLevel="0" collapsed="false">
      <c r="E358" s="40"/>
    </row>
    <row r="359" customFormat="false" ht="15" hidden="false" customHeight="false" outlineLevel="0" collapsed="false">
      <c r="E359" s="40"/>
    </row>
    <row r="360" customFormat="false" ht="15" hidden="false" customHeight="false" outlineLevel="0" collapsed="false">
      <c r="E360" s="40"/>
    </row>
    <row r="361" customFormat="false" ht="15" hidden="false" customHeight="false" outlineLevel="0" collapsed="false">
      <c r="E361" s="40"/>
    </row>
    <row r="362" customFormat="false" ht="15" hidden="false" customHeight="false" outlineLevel="0" collapsed="false">
      <c r="E362" s="40"/>
    </row>
    <row r="363" customFormat="false" ht="15" hidden="false" customHeight="false" outlineLevel="0" collapsed="false">
      <c r="E363" s="40"/>
    </row>
    <row r="364" customFormat="false" ht="15" hidden="false" customHeight="false" outlineLevel="0" collapsed="false">
      <c r="E364" s="40"/>
    </row>
    <row r="365" customFormat="false" ht="15" hidden="false" customHeight="false" outlineLevel="0" collapsed="false">
      <c r="E365" s="40"/>
    </row>
    <row r="366" customFormat="false" ht="15" hidden="false" customHeight="false" outlineLevel="0" collapsed="false">
      <c r="E366" s="40"/>
    </row>
    <row r="367" customFormat="false" ht="15" hidden="false" customHeight="false" outlineLevel="0" collapsed="false">
      <c r="E367" s="40"/>
    </row>
    <row r="368" customFormat="false" ht="15" hidden="false" customHeight="false" outlineLevel="0" collapsed="false">
      <c r="E368" s="40"/>
    </row>
    <row r="369" customFormat="false" ht="15" hidden="false" customHeight="false" outlineLevel="0" collapsed="false">
      <c r="E369" s="40"/>
    </row>
    <row r="370" customFormat="false" ht="15" hidden="false" customHeight="false" outlineLevel="0" collapsed="false">
      <c r="E370" s="40"/>
    </row>
    <row r="371" customFormat="false" ht="15" hidden="false" customHeight="false" outlineLevel="0" collapsed="false">
      <c r="E371" s="40"/>
    </row>
    <row r="372" customFormat="false" ht="15" hidden="false" customHeight="false" outlineLevel="0" collapsed="false">
      <c r="E372" s="40"/>
    </row>
    <row r="373" customFormat="false" ht="15" hidden="false" customHeight="false" outlineLevel="0" collapsed="false">
      <c r="E373" s="40"/>
    </row>
    <row r="374" customFormat="false" ht="15" hidden="false" customHeight="false" outlineLevel="0" collapsed="false">
      <c r="E374" s="40"/>
    </row>
    <row r="375" customFormat="false" ht="15" hidden="false" customHeight="false" outlineLevel="0" collapsed="false">
      <c r="E375" s="40"/>
    </row>
    <row r="376" customFormat="false" ht="15" hidden="false" customHeight="false" outlineLevel="0" collapsed="false">
      <c r="E376" s="40"/>
    </row>
    <row r="377" customFormat="false" ht="15" hidden="false" customHeight="false" outlineLevel="0" collapsed="false">
      <c r="E377" s="40"/>
    </row>
    <row r="378" customFormat="false" ht="15" hidden="false" customHeight="false" outlineLevel="0" collapsed="false">
      <c r="E378" s="40"/>
    </row>
    <row r="379" customFormat="false" ht="15" hidden="false" customHeight="false" outlineLevel="0" collapsed="false">
      <c r="E379" s="40"/>
    </row>
    <row r="380" customFormat="false" ht="15" hidden="false" customHeight="false" outlineLevel="0" collapsed="false">
      <c r="E380" s="40"/>
    </row>
    <row r="381" customFormat="false" ht="15" hidden="false" customHeight="false" outlineLevel="0" collapsed="false">
      <c r="E381" s="40"/>
    </row>
    <row r="382" customFormat="false" ht="15" hidden="false" customHeight="false" outlineLevel="0" collapsed="false">
      <c r="E382" s="40"/>
    </row>
    <row r="383" customFormat="false" ht="15" hidden="false" customHeight="false" outlineLevel="0" collapsed="false">
      <c r="E383" s="40"/>
    </row>
    <row r="384" customFormat="false" ht="15" hidden="false" customHeight="false" outlineLevel="0" collapsed="false">
      <c r="E384" s="40"/>
    </row>
    <row r="385" customFormat="false" ht="15" hidden="false" customHeight="false" outlineLevel="0" collapsed="false">
      <c r="E385" s="40"/>
    </row>
    <row r="386" customFormat="false" ht="15" hidden="false" customHeight="false" outlineLevel="0" collapsed="false">
      <c r="E386" s="40"/>
    </row>
    <row r="387" customFormat="false" ht="15" hidden="false" customHeight="false" outlineLevel="0" collapsed="false">
      <c r="E387" s="40"/>
    </row>
    <row r="388" customFormat="false" ht="15" hidden="false" customHeight="false" outlineLevel="0" collapsed="false">
      <c r="E388" s="40"/>
    </row>
    <row r="389" customFormat="false" ht="15" hidden="false" customHeight="false" outlineLevel="0" collapsed="false">
      <c r="E389" s="40"/>
    </row>
    <row r="390" customFormat="false" ht="15" hidden="false" customHeight="false" outlineLevel="0" collapsed="false">
      <c r="E390" s="40"/>
    </row>
    <row r="391" customFormat="false" ht="15" hidden="false" customHeight="false" outlineLevel="0" collapsed="false">
      <c r="E391" s="40"/>
    </row>
    <row r="392" customFormat="false" ht="15" hidden="false" customHeight="false" outlineLevel="0" collapsed="false">
      <c r="E392" s="40"/>
    </row>
    <row r="393" customFormat="false" ht="15" hidden="false" customHeight="false" outlineLevel="0" collapsed="false">
      <c r="E393" s="40"/>
    </row>
    <row r="394" customFormat="false" ht="15" hidden="false" customHeight="false" outlineLevel="0" collapsed="false">
      <c r="E394" s="40"/>
    </row>
    <row r="395" customFormat="false" ht="15" hidden="false" customHeight="false" outlineLevel="0" collapsed="false">
      <c r="E395" s="40"/>
    </row>
    <row r="396" customFormat="false" ht="15" hidden="false" customHeight="false" outlineLevel="0" collapsed="false">
      <c r="E396" s="40"/>
    </row>
    <row r="397" customFormat="false" ht="15" hidden="false" customHeight="false" outlineLevel="0" collapsed="false">
      <c r="E397" s="40"/>
    </row>
    <row r="398" customFormat="false" ht="15" hidden="false" customHeight="false" outlineLevel="0" collapsed="false">
      <c r="E398" s="40"/>
    </row>
    <row r="399" customFormat="false" ht="15" hidden="false" customHeight="false" outlineLevel="0" collapsed="false">
      <c r="E399" s="40"/>
    </row>
    <row r="400" customFormat="false" ht="15" hidden="false" customHeight="false" outlineLevel="0" collapsed="false">
      <c r="E400" s="40"/>
    </row>
    <row r="401" customFormat="false" ht="15" hidden="false" customHeight="false" outlineLevel="0" collapsed="false">
      <c r="E401" s="40"/>
    </row>
    <row r="402" customFormat="false" ht="15" hidden="false" customHeight="false" outlineLevel="0" collapsed="false">
      <c r="E402" s="40"/>
    </row>
    <row r="403" customFormat="false" ht="15" hidden="false" customHeight="false" outlineLevel="0" collapsed="false">
      <c r="E403" s="40"/>
    </row>
    <row r="404" customFormat="false" ht="15" hidden="false" customHeight="false" outlineLevel="0" collapsed="false">
      <c r="E404" s="40"/>
    </row>
    <row r="405" customFormat="false" ht="15" hidden="false" customHeight="false" outlineLevel="0" collapsed="false">
      <c r="E405" s="40"/>
    </row>
    <row r="406" customFormat="false" ht="15" hidden="false" customHeight="false" outlineLevel="0" collapsed="false">
      <c r="E406" s="40"/>
    </row>
    <row r="407" customFormat="false" ht="15" hidden="false" customHeight="false" outlineLevel="0" collapsed="false">
      <c r="E407" s="40"/>
    </row>
    <row r="408" customFormat="false" ht="15" hidden="false" customHeight="false" outlineLevel="0" collapsed="false">
      <c r="E408" s="40"/>
    </row>
    <row r="409" customFormat="false" ht="15" hidden="false" customHeight="false" outlineLevel="0" collapsed="false">
      <c r="E409" s="40"/>
    </row>
    <row r="410" customFormat="false" ht="15" hidden="false" customHeight="false" outlineLevel="0" collapsed="false">
      <c r="E410" s="40"/>
    </row>
    <row r="411" customFormat="false" ht="15" hidden="false" customHeight="false" outlineLevel="0" collapsed="false">
      <c r="E411" s="40"/>
    </row>
    <row r="412" customFormat="false" ht="15" hidden="false" customHeight="false" outlineLevel="0" collapsed="false">
      <c r="E412" s="40"/>
    </row>
    <row r="413" customFormat="false" ht="15" hidden="false" customHeight="false" outlineLevel="0" collapsed="false">
      <c r="E413" s="40"/>
    </row>
    <row r="414" customFormat="false" ht="15" hidden="false" customHeight="false" outlineLevel="0" collapsed="false">
      <c r="E414" s="40"/>
    </row>
    <row r="415" customFormat="false" ht="15" hidden="false" customHeight="false" outlineLevel="0" collapsed="false">
      <c r="E415" s="40"/>
    </row>
    <row r="416" customFormat="false" ht="15" hidden="false" customHeight="false" outlineLevel="0" collapsed="false">
      <c r="E416" s="40"/>
    </row>
    <row r="417" customFormat="false" ht="15" hidden="false" customHeight="false" outlineLevel="0" collapsed="false">
      <c r="E417" s="40"/>
    </row>
    <row r="418" customFormat="false" ht="15" hidden="false" customHeight="false" outlineLevel="0" collapsed="false">
      <c r="E418" s="40"/>
    </row>
    <row r="419" customFormat="false" ht="15" hidden="false" customHeight="false" outlineLevel="0" collapsed="false">
      <c r="E419" s="40"/>
    </row>
    <row r="420" customFormat="false" ht="15" hidden="false" customHeight="false" outlineLevel="0" collapsed="false">
      <c r="E420" s="40"/>
    </row>
    <row r="421" customFormat="false" ht="15" hidden="false" customHeight="false" outlineLevel="0" collapsed="false">
      <c r="E421" s="40"/>
    </row>
    <row r="422" customFormat="false" ht="15" hidden="false" customHeight="false" outlineLevel="0" collapsed="false">
      <c r="E422" s="40"/>
    </row>
    <row r="423" customFormat="false" ht="15" hidden="false" customHeight="false" outlineLevel="0" collapsed="false">
      <c r="E423" s="40"/>
    </row>
    <row r="424" customFormat="false" ht="15" hidden="false" customHeight="false" outlineLevel="0" collapsed="false">
      <c r="E424" s="40"/>
    </row>
    <row r="425" customFormat="false" ht="15" hidden="false" customHeight="false" outlineLevel="0" collapsed="false">
      <c r="E425" s="40"/>
    </row>
    <row r="426" customFormat="false" ht="15" hidden="false" customHeight="false" outlineLevel="0" collapsed="false">
      <c r="E426" s="40"/>
    </row>
    <row r="427" customFormat="false" ht="15" hidden="false" customHeight="false" outlineLevel="0" collapsed="false">
      <c r="E427" s="40"/>
    </row>
    <row r="428" customFormat="false" ht="15" hidden="false" customHeight="false" outlineLevel="0" collapsed="false">
      <c r="E428" s="40"/>
    </row>
    <row r="429" customFormat="false" ht="15" hidden="false" customHeight="false" outlineLevel="0" collapsed="false">
      <c r="E429" s="40"/>
    </row>
    <row r="430" customFormat="false" ht="15" hidden="false" customHeight="false" outlineLevel="0" collapsed="false">
      <c r="E430" s="40"/>
    </row>
    <row r="431" customFormat="false" ht="15" hidden="false" customHeight="false" outlineLevel="0" collapsed="false">
      <c r="E431" s="40"/>
    </row>
    <row r="432" customFormat="false" ht="15" hidden="false" customHeight="false" outlineLevel="0" collapsed="false">
      <c r="E432" s="40"/>
    </row>
    <row r="433" customFormat="false" ht="15" hidden="false" customHeight="false" outlineLevel="0" collapsed="false">
      <c r="E433" s="40"/>
    </row>
    <row r="434" customFormat="false" ht="15" hidden="false" customHeight="false" outlineLevel="0" collapsed="false">
      <c r="E434" s="40"/>
    </row>
    <row r="435" customFormat="false" ht="15" hidden="false" customHeight="false" outlineLevel="0" collapsed="false">
      <c r="E435" s="40"/>
    </row>
    <row r="436" customFormat="false" ht="15" hidden="false" customHeight="false" outlineLevel="0" collapsed="false">
      <c r="E436" s="40"/>
    </row>
    <row r="437" customFormat="false" ht="15" hidden="false" customHeight="false" outlineLevel="0" collapsed="false">
      <c r="E437" s="40"/>
    </row>
    <row r="438" customFormat="false" ht="15" hidden="false" customHeight="false" outlineLevel="0" collapsed="false">
      <c r="E438" s="40"/>
    </row>
    <row r="439" customFormat="false" ht="15" hidden="false" customHeight="false" outlineLevel="0" collapsed="false">
      <c r="E439" s="40"/>
    </row>
    <row r="440" customFormat="false" ht="15" hidden="false" customHeight="false" outlineLevel="0" collapsed="false">
      <c r="E440" s="40"/>
    </row>
    <row r="441" customFormat="false" ht="15" hidden="false" customHeight="false" outlineLevel="0" collapsed="false">
      <c r="E441" s="40"/>
    </row>
    <row r="442" customFormat="false" ht="15" hidden="false" customHeight="false" outlineLevel="0" collapsed="false">
      <c r="E442" s="40"/>
    </row>
    <row r="443" customFormat="false" ht="15" hidden="false" customHeight="false" outlineLevel="0" collapsed="false">
      <c r="E443" s="40"/>
    </row>
    <row r="444" customFormat="false" ht="15" hidden="false" customHeight="false" outlineLevel="0" collapsed="false">
      <c r="E444" s="40"/>
    </row>
    <row r="445" customFormat="false" ht="15" hidden="false" customHeight="false" outlineLevel="0" collapsed="false">
      <c r="E445" s="40"/>
    </row>
    <row r="446" customFormat="false" ht="15" hidden="false" customHeight="false" outlineLevel="0" collapsed="false">
      <c r="E446" s="40"/>
    </row>
    <row r="447" customFormat="false" ht="15" hidden="false" customHeight="false" outlineLevel="0" collapsed="false">
      <c r="E447" s="40"/>
    </row>
    <row r="448" customFormat="false" ht="15" hidden="false" customHeight="false" outlineLevel="0" collapsed="false">
      <c r="E448" s="40"/>
    </row>
    <row r="449" customFormat="false" ht="15" hidden="false" customHeight="false" outlineLevel="0" collapsed="false">
      <c r="E449" s="40"/>
    </row>
    <row r="450" customFormat="false" ht="15" hidden="false" customHeight="false" outlineLevel="0" collapsed="false">
      <c r="E450" s="40"/>
    </row>
    <row r="451" customFormat="false" ht="15" hidden="false" customHeight="false" outlineLevel="0" collapsed="false">
      <c r="E451" s="40"/>
    </row>
    <row r="452" customFormat="false" ht="15" hidden="false" customHeight="false" outlineLevel="0" collapsed="false">
      <c r="E452" s="40"/>
    </row>
    <row r="453" customFormat="false" ht="15" hidden="false" customHeight="false" outlineLevel="0" collapsed="false">
      <c r="E453" s="40"/>
    </row>
    <row r="454" customFormat="false" ht="15" hidden="false" customHeight="false" outlineLevel="0" collapsed="false">
      <c r="E454" s="40"/>
    </row>
    <row r="455" customFormat="false" ht="15" hidden="false" customHeight="false" outlineLevel="0" collapsed="false">
      <c r="E455" s="40"/>
    </row>
    <row r="456" customFormat="false" ht="15" hidden="false" customHeight="false" outlineLevel="0" collapsed="false">
      <c r="E456" s="40"/>
    </row>
    <row r="457" customFormat="false" ht="15" hidden="false" customHeight="false" outlineLevel="0" collapsed="false">
      <c r="E457" s="40"/>
    </row>
    <row r="458" customFormat="false" ht="15" hidden="false" customHeight="false" outlineLevel="0" collapsed="false">
      <c r="E458" s="40"/>
    </row>
    <row r="459" customFormat="false" ht="15" hidden="false" customHeight="false" outlineLevel="0" collapsed="false">
      <c r="E459" s="40"/>
    </row>
    <row r="460" customFormat="false" ht="15" hidden="false" customHeight="false" outlineLevel="0" collapsed="false">
      <c r="E460" s="40"/>
    </row>
    <row r="461" customFormat="false" ht="15" hidden="false" customHeight="false" outlineLevel="0" collapsed="false">
      <c r="E461" s="40"/>
    </row>
    <row r="462" customFormat="false" ht="15" hidden="false" customHeight="false" outlineLevel="0" collapsed="false">
      <c r="E462" s="40"/>
    </row>
    <row r="463" customFormat="false" ht="15" hidden="false" customHeight="false" outlineLevel="0" collapsed="false">
      <c r="E463" s="40"/>
    </row>
    <row r="464" customFormat="false" ht="15" hidden="false" customHeight="false" outlineLevel="0" collapsed="false">
      <c r="E464" s="40"/>
    </row>
    <row r="465" customFormat="false" ht="15" hidden="false" customHeight="false" outlineLevel="0" collapsed="false">
      <c r="E465" s="40"/>
    </row>
    <row r="466" customFormat="false" ht="15" hidden="false" customHeight="false" outlineLevel="0" collapsed="false">
      <c r="E466" s="40"/>
    </row>
    <row r="467" customFormat="false" ht="15" hidden="false" customHeight="false" outlineLevel="0" collapsed="false">
      <c r="E467" s="40"/>
    </row>
    <row r="468" customFormat="false" ht="15" hidden="false" customHeight="false" outlineLevel="0" collapsed="false">
      <c r="E468" s="40"/>
    </row>
    <row r="469" customFormat="false" ht="15" hidden="false" customHeight="false" outlineLevel="0" collapsed="false">
      <c r="E469" s="40"/>
    </row>
    <row r="470" customFormat="false" ht="15" hidden="false" customHeight="false" outlineLevel="0" collapsed="false">
      <c r="E470" s="40"/>
    </row>
    <row r="471" customFormat="false" ht="15" hidden="false" customHeight="false" outlineLevel="0" collapsed="false">
      <c r="E471" s="40"/>
    </row>
    <row r="472" customFormat="false" ht="15" hidden="false" customHeight="false" outlineLevel="0" collapsed="false">
      <c r="E472" s="40"/>
    </row>
    <row r="473" customFormat="false" ht="15" hidden="false" customHeight="false" outlineLevel="0" collapsed="false">
      <c r="E473" s="40"/>
    </row>
    <row r="474" customFormat="false" ht="15" hidden="false" customHeight="false" outlineLevel="0" collapsed="false">
      <c r="E474" s="40"/>
    </row>
    <row r="475" customFormat="false" ht="15" hidden="false" customHeight="false" outlineLevel="0" collapsed="false">
      <c r="E475" s="40"/>
    </row>
    <row r="476" customFormat="false" ht="15" hidden="false" customHeight="false" outlineLevel="0" collapsed="false">
      <c r="E476" s="40"/>
    </row>
    <row r="477" customFormat="false" ht="15" hidden="false" customHeight="false" outlineLevel="0" collapsed="false">
      <c r="E477" s="40"/>
    </row>
    <row r="478" customFormat="false" ht="15" hidden="false" customHeight="false" outlineLevel="0" collapsed="false">
      <c r="E478" s="40"/>
    </row>
    <row r="479" customFormat="false" ht="15" hidden="false" customHeight="false" outlineLevel="0" collapsed="false">
      <c r="E479" s="40"/>
    </row>
    <row r="480" customFormat="false" ht="15" hidden="false" customHeight="false" outlineLevel="0" collapsed="false">
      <c r="E480" s="40"/>
    </row>
    <row r="481" customFormat="false" ht="15" hidden="false" customHeight="false" outlineLevel="0" collapsed="false">
      <c r="E481" s="40"/>
    </row>
    <row r="482" customFormat="false" ht="15" hidden="false" customHeight="false" outlineLevel="0" collapsed="false">
      <c r="E482" s="40"/>
    </row>
    <row r="483" customFormat="false" ht="15" hidden="false" customHeight="false" outlineLevel="0" collapsed="false">
      <c r="E483" s="40"/>
    </row>
    <row r="484" customFormat="false" ht="15" hidden="false" customHeight="false" outlineLevel="0" collapsed="false">
      <c r="E484" s="40"/>
    </row>
    <row r="485" customFormat="false" ht="15" hidden="false" customHeight="false" outlineLevel="0" collapsed="false">
      <c r="E485" s="40"/>
    </row>
    <row r="486" customFormat="false" ht="15" hidden="false" customHeight="false" outlineLevel="0" collapsed="false">
      <c r="E486" s="40"/>
    </row>
    <row r="487" customFormat="false" ht="15" hidden="false" customHeight="false" outlineLevel="0" collapsed="false">
      <c r="E487" s="40"/>
    </row>
    <row r="488" customFormat="false" ht="15" hidden="false" customHeight="false" outlineLevel="0" collapsed="false">
      <c r="E488" s="40"/>
    </row>
    <row r="489" customFormat="false" ht="15" hidden="false" customHeight="false" outlineLevel="0" collapsed="false">
      <c r="E489" s="40"/>
    </row>
    <row r="490" customFormat="false" ht="15" hidden="false" customHeight="false" outlineLevel="0" collapsed="false">
      <c r="E490" s="40"/>
    </row>
    <row r="491" customFormat="false" ht="15" hidden="false" customHeight="false" outlineLevel="0" collapsed="false">
      <c r="E491" s="40"/>
    </row>
    <row r="492" customFormat="false" ht="15" hidden="false" customHeight="false" outlineLevel="0" collapsed="false">
      <c r="E492" s="40"/>
    </row>
    <row r="493" customFormat="false" ht="15" hidden="false" customHeight="false" outlineLevel="0" collapsed="false">
      <c r="E493" s="40"/>
    </row>
    <row r="494" customFormat="false" ht="15" hidden="false" customHeight="false" outlineLevel="0" collapsed="false">
      <c r="E494" s="40"/>
    </row>
    <row r="495" customFormat="false" ht="15" hidden="false" customHeight="false" outlineLevel="0" collapsed="false">
      <c r="E495" s="40"/>
    </row>
    <row r="496" customFormat="false" ht="15" hidden="false" customHeight="false" outlineLevel="0" collapsed="false">
      <c r="E496" s="40"/>
    </row>
    <row r="497" customFormat="false" ht="15" hidden="false" customHeight="false" outlineLevel="0" collapsed="false">
      <c r="E497" s="40"/>
    </row>
    <row r="498" customFormat="false" ht="15" hidden="false" customHeight="false" outlineLevel="0" collapsed="false">
      <c r="E498" s="40"/>
    </row>
    <row r="499" customFormat="false" ht="15" hidden="false" customHeight="false" outlineLevel="0" collapsed="false">
      <c r="E499" s="40"/>
    </row>
    <row r="500" customFormat="false" ht="15" hidden="false" customHeight="false" outlineLevel="0" collapsed="false">
      <c r="E500" s="40"/>
    </row>
    <row r="501" customFormat="false" ht="15" hidden="false" customHeight="false" outlineLevel="0" collapsed="false">
      <c r="E501" s="40"/>
    </row>
    <row r="502" customFormat="false" ht="15" hidden="false" customHeight="false" outlineLevel="0" collapsed="false">
      <c r="E502" s="40"/>
    </row>
    <row r="503" customFormat="false" ht="15" hidden="false" customHeight="false" outlineLevel="0" collapsed="false">
      <c r="E503" s="40"/>
    </row>
    <row r="504" customFormat="false" ht="15" hidden="false" customHeight="false" outlineLevel="0" collapsed="false">
      <c r="E504" s="40"/>
    </row>
    <row r="505" customFormat="false" ht="15" hidden="false" customHeight="false" outlineLevel="0" collapsed="false">
      <c r="E505" s="40"/>
    </row>
    <row r="506" customFormat="false" ht="15" hidden="false" customHeight="false" outlineLevel="0" collapsed="false">
      <c r="E506" s="40"/>
    </row>
    <row r="507" customFormat="false" ht="15" hidden="false" customHeight="false" outlineLevel="0" collapsed="false">
      <c r="E507" s="40"/>
    </row>
    <row r="508" customFormat="false" ht="15" hidden="false" customHeight="false" outlineLevel="0" collapsed="false">
      <c r="E508" s="40"/>
    </row>
    <row r="509" customFormat="false" ht="15" hidden="false" customHeight="false" outlineLevel="0" collapsed="false">
      <c r="E509" s="40"/>
    </row>
    <row r="510" customFormat="false" ht="15" hidden="false" customHeight="false" outlineLevel="0" collapsed="false">
      <c r="E510" s="40"/>
    </row>
    <row r="511" customFormat="false" ht="15" hidden="false" customHeight="false" outlineLevel="0" collapsed="false">
      <c r="E511" s="40"/>
    </row>
    <row r="512" customFormat="false" ht="15" hidden="false" customHeight="false" outlineLevel="0" collapsed="false">
      <c r="E512" s="40"/>
    </row>
    <row r="513" customFormat="false" ht="15" hidden="false" customHeight="false" outlineLevel="0" collapsed="false">
      <c r="E513" s="40"/>
    </row>
    <row r="514" customFormat="false" ht="15" hidden="false" customHeight="false" outlineLevel="0" collapsed="false">
      <c r="E514" s="40"/>
    </row>
    <row r="515" customFormat="false" ht="15" hidden="false" customHeight="false" outlineLevel="0" collapsed="false">
      <c r="E515" s="40"/>
    </row>
    <row r="516" customFormat="false" ht="15" hidden="false" customHeight="false" outlineLevel="0" collapsed="false">
      <c r="E516" s="40"/>
    </row>
    <row r="517" customFormat="false" ht="15" hidden="false" customHeight="false" outlineLevel="0" collapsed="false">
      <c r="E517" s="40"/>
    </row>
    <row r="518" customFormat="false" ht="15" hidden="false" customHeight="false" outlineLevel="0" collapsed="false">
      <c r="E518" s="40"/>
    </row>
    <row r="519" customFormat="false" ht="15" hidden="false" customHeight="false" outlineLevel="0" collapsed="false">
      <c r="E519" s="40"/>
    </row>
    <row r="520" customFormat="false" ht="15" hidden="false" customHeight="false" outlineLevel="0" collapsed="false">
      <c r="E520" s="40"/>
    </row>
    <row r="521" customFormat="false" ht="15" hidden="false" customHeight="false" outlineLevel="0" collapsed="false">
      <c r="E521" s="40"/>
    </row>
    <row r="522" customFormat="false" ht="15" hidden="false" customHeight="false" outlineLevel="0" collapsed="false">
      <c r="E522" s="40"/>
    </row>
    <row r="523" customFormat="false" ht="15" hidden="false" customHeight="false" outlineLevel="0" collapsed="false">
      <c r="E523" s="40"/>
    </row>
    <row r="524" customFormat="false" ht="15" hidden="false" customHeight="false" outlineLevel="0" collapsed="false">
      <c r="E524" s="40"/>
    </row>
    <row r="525" customFormat="false" ht="15" hidden="false" customHeight="false" outlineLevel="0" collapsed="false">
      <c r="E525" s="40"/>
    </row>
    <row r="526" customFormat="false" ht="15" hidden="false" customHeight="false" outlineLevel="0" collapsed="false">
      <c r="E526" s="40"/>
    </row>
    <row r="527" customFormat="false" ht="15" hidden="false" customHeight="false" outlineLevel="0" collapsed="false">
      <c r="E527" s="40"/>
    </row>
    <row r="528" customFormat="false" ht="15" hidden="false" customHeight="false" outlineLevel="0" collapsed="false">
      <c r="E528" s="40"/>
    </row>
    <row r="529" customFormat="false" ht="15" hidden="false" customHeight="false" outlineLevel="0" collapsed="false">
      <c r="E529" s="40"/>
    </row>
    <row r="530" customFormat="false" ht="15" hidden="false" customHeight="false" outlineLevel="0" collapsed="false">
      <c r="E530" s="40"/>
    </row>
    <row r="531" customFormat="false" ht="15" hidden="false" customHeight="false" outlineLevel="0" collapsed="false">
      <c r="E531" s="40"/>
    </row>
    <row r="532" customFormat="false" ht="15" hidden="false" customHeight="false" outlineLevel="0" collapsed="false">
      <c r="E532" s="40"/>
    </row>
    <row r="533" customFormat="false" ht="15" hidden="false" customHeight="false" outlineLevel="0" collapsed="false">
      <c r="E533" s="40"/>
    </row>
    <row r="534" customFormat="false" ht="15" hidden="false" customHeight="false" outlineLevel="0" collapsed="false">
      <c r="E534" s="40"/>
    </row>
    <row r="535" customFormat="false" ht="15" hidden="false" customHeight="false" outlineLevel="0" collapsed="false">
      <c r="E535" s="40"/>
    </row>
    <row r="536" customFormat="false" ht="15" hidden="false" customHeight="false" outlineLevel="0" collapsed="false">
      <c r="E536" s="40"/>
    </row>
    <row r="537" customFormat="false" ht="15" hidden="false" customHeight="false" outlineLevel="0" collapsed="false">
      <c r="E537" s="40"/>
    </row>
    <row r="538" customFormat="false" ht="15" hidden="false" customHeight="false" outlineLevel="0" collapsed="false">
      <c r="E538" s="40"/>
    </row>
    <row r="539" customFormat="false" ht="15" hidden="false" customHeight="false" outlineLevel="0" collapsed="false">
      <c r="E539" s="40"/>
    </row>
    <row r="540" customFormat="false" ht="15" hidden="false" customHeight="false" outlineLevel="0" collapsed="false">
      <c r="E540" s="40"/>
    </row>
    <row r="541" customFormat="false" ht="15" hidden="false" customHeight="false" outlineLevel="0" collapsed="false">
      <c r="E541" s="40"/>
    </row>
    <row r="542" customFormat="false" ht="15" hidden="false" customHeight="false" outlineLevel="0" collapsed="false">
      <c r="E542" s="40"/>
    </row>
    <row r="543" customFormat="false" ht="15" hidden="false" customHeight="false" outlineLevel="0" collapsed="false">
      <c r="E543" s="40"/>
    </row>
    <row r="544" customFormat="false" ht="15" hidden="false" customHeight="false" outlineLevel="0" collapsed="false">
      <c r="E544" s="40"/>
    </row>
    <row r="545" customFormat="false" ht="15" hidden="false" customHeight="false" outlineLevel="0" collapsed="false">
      <c r="E545" s="40"/>
    </row>
    <row r="546" customFormat="false" ht="15" hidden="false" customHeight="false" outlineLevel="0" collapsed="false">
      <c r="E546" s="40"/>
    </row>
    <row r="547" customFormat="false" ht="15" hidden="false" customHeight="false" outlineLevel="0" collapsed="false">
      <c r="E547" s="40"/>
    </row>
    <row r="548" customFormat="false" ht="15" hidden="false" customHeight="false" outlineLevel="0" collapsed="false">
      <c r="E548" s="40"/>
    </row>
    <row r="549" customFormat="false" ht="15" hidden="false" customHeight="false" outlineLevel="0" collapsed="false">
      <c r="E549" s="40"/>
    </row>
    <row r="550" customFormat="false" ht="15" hidden="false" customHeight="false" outlineLevel="0" collapsed="false">
      <c r="E550" s="40"/>
    </row>
    <row r="551" customFormat="false" ht="15" hidden="false" customHeight="false" outlineLevel="0" collapsed="false">
      <c r="E551" s="40"/>
    </row>
    <row r="552" customFormat="false" ht="15" hidden="false" customHeight="false" outlineLevel="0" collapsed="false">
      <c r="E552" s="40"/>
    </row>
    <row r="553" customFormat="false" ht="15" hidden="false" customHeight="false" outlineLevel="0" collapsed="false">
      <c r="E553" s="40"/>
    </row>
    <row r="554" customFormat="false" ht="15" hidden="false" customHeight="false" outlineLevel="0" collapsed="false">
      <c r="E554" s="40"/>
    </row>
    <row r="555" customFormat="false" ht="15" hidden="false" customHeight="false" outlineLevel="0" collapsed="false">
      <c r="E555" s="40"/>
    </row>
    <row r="556" customFormat="false" ht="15" hidden="false" customHeight="false" outlineLevel="0" collapsed="false">
      <c r="E556" s="40"/>
    </row>
    <row r="557" customFormat="false" ht="15" hidden="false" customHeight="false" outlineLevel="0" collapsed="false">
      <c r="E557" s="40"/>
    </row>
    <row r="558" customFormat="false" ht="15" hidden="false" customHeight="false" outlineLevel="0" collapsed="false">
      <c r="E558" s="40"/>
    </row>
    <row r="559" customFormat="false" ht="15" hidden="false" customHeight="false" outlineLevel="0" collapsed="false">
      <c r="E559" s="40"/>
    </row>
    <row r="560" customFormat="false" ht="15" hidden="false" customHeight="false" outlineLevel="0" collapsed="false">
      <c r="E560" s="40"/>
    </row>
    <row r="561" customFormat="false" ht="15" hidden="false" customHeight="false" outlineLevel="0" collapsed="false">
      <c r="E561" s="40"/>
    </row>
    <row r="562" customFormat="false" ht="15" hidden="false" customHeight="false" outlineLevel="0" collapsed="false">
      <c r="E562" s="40"/>
    </row>
    <row r="563" customFormat="false" ht="15" hidden="false" customHeight="false" outlineLevel="0" collapsed="false">
      <c r="E563" s="40"/>
    </row>
    <row r="564" customFormat="false" ht="15" hidden="false" customHeight="false" outlineLevel="0" collapsed="false">
      <c r="E564" s="40"/>
    </row>
    <row r="565" customFormat="false" ht="15" hidden="false" customHeight="false" outlineLevel="0" collapsed="false">
      <c r="E565" s="40"/>
    </row>
    <row r="566" customFormat="false" ht="15" hidden="false" customHeight="false" outlineLevel="0" collapsed="false">
      <c r="E566" s="40"/>
    </row>
    <row r="567" customFormat="false" ht="15" hidden="false" customHeight="false" outlineLevel="0" collapsed="false">
      <c r="E567" s="40"/>
    </row>
    <row r="568" customFormat="false" ht="15" hidden="false" customHeight="false" outlineLevel="0" collapsed="false">
      <c r="E568" s="40"/>
    </row>
    <row r="569" customFormat="false" ht="15" hidden="false" customHeight="false" outlineLevel="0" collapsed="false">
      <c r="E569" s="40"/>
    </row>
    <row r="570" customFormat="false" ht="15" hidden="false" customHeight="false" outlineLevel="0" collapsed="false">
      <c r="E570" s="40"/>
    </row>
    <row r="571" customFormat="false" ht="15" hidden="false" customHeight="false" outlineLevel="0" collapsed="false">
      <c r="E571" s="40"/>
    </row>
    <row r="572" customFormat="false" ht="15" hidden="false" customHeight="false" outlineLevel="0" collapsed="false">
      <c r="E572" s="40"/>
    </row>
    <row r="573" customFormat="false" ht="15" hidden="false" customHeight="false" outlineLevel="0" collapsed="false">
      <c r="E573" s="40"/>
    </row>
    <row r="574" customFormat="false" ht="15" hidden="false" customHeight="false" outlineLevel="0" collapsed="false">
      <c r="E574" s="40"/>
    </row>
    <row r="575" customFormat="false" ht="15" hidden="false" customHeight="false" outlineLevel="0" collapsed="false">
      <c r="E575" s="40"/>
    </row>
    <row r="576" customFormat="false" ht="15" hidden="false" customHeight="false" outlineLevel="0" collapsed="false">
      <c r="E576" s="40"/>
    </row>
    <row r="577" customFormat="false" ht="15" hidden="false" customHeight="false" outlineLevel="0" collapsed="false">
      <c r="E577" s="40"/>
    </row>
    <row r="578" customFormat="false" ht="15" hidden="false" customHeight="false" outlineLevel="0" collapsed="false">
      <c r="E578" s="40"/>
    </row>
    <row r="579" customFormat="false" ht="15" hidden="false" customHeight="false" outlineLevel="0" collapsed="false">
      <c r="E579" s="40"/>
    </row>
    <row r="580" customFormat="false" ht="15" hidden="false" customHeight="false" outlineLevel="0" collapsed="false">
      <c r="E580" s="40"/>
    </row>
    <row r="581" customFormat="false" ht="15" hidden="false" customHeight="false" outlineLevel="0" collapsed="false">
      <c r="E581" s="40"/>
    </row>
    <row r="582" customFormat="false" ht="15" hidden="false" customHeight="false" outlineLevel="0" collapsed="false">
      <c r="E582" s="40"/>
    </row>
    <row r="583" customFormat="false" ht="15" hidden="false" customHeight="false" outlineLevel="0" collapsed="false">
      <c r="E583" s="40"/>
    </row>
    <row r="584" customFormat="false" ht="15" hidden="false" customHeight="false" outlineLevel="0" collapsed="false">
      <c r="E584" s="40"/>
    </row>
    <row r="585" customFormat="false" ht="15" hidden="false" customHeight="false" outlineLevel="0" collapsed="false">
      <c r="E585" s="40"/>
    </row>
    <row r="586" customFormat="false" ht="15" hidden="false" customHeight="false" outlineLevel="0" collapsed="false">
      <c r="E586" s="40"/>
    </row>
    <row r="587" customFormat="false" ht="15" hidden="false" customHeight="false" outlineLevel="0" collapsed="false">
      <c r="E587" s="40"/>
    </row>
    <row r="588" customFormat="false" ht="15" hidden="false" customHeight="false" outlineLevel="0" collapsed="false">
      <c r="E588" s="40"/>
    </row>
    <row r="589" customFormat="false" ht="15" hidden="false" customHeight="false" outlineLevel="0" collapsed="false">
      <c r="E589" s="40"/>
    </row>
    <row r="590" customFormat="false" ht="15" hidden="false" customHeight="false" outlineLevel="0" collapsed="false">
      <c r="E590" s="40"/>
    </row>
    <row r="591" customFormat="false" ht="15" hidden="false" customHeight="false" outlineLevel="0" collapsed="false">
      <c r="E591" s="40"/>
    </row>
    <row r="592" customFormat="false" ht="15" hidden="false" customHeight="false" outlineLevel="0" collapsed="false">
      <c r="E592" s="40"/>
    </row>
    <row r="593" customFormat="false" ht="15" hidden="false" customHeight="false" outlineLevel="0" collapsed="false">
      <c r="E593" s="40"/>
    </row>
    <row r="594" customFormat="false" ht="15" hidden="false" customHeight="false" outlineLevel="0" collapsed="false">
      <c r="E594" s="40"/>
    </row>
    <row r="595" customFormat="false" ht="15" hidden="false" customHeight="false" outlineLevel="0" collapsed="false">
      <c r="E595" s="40"/>
    </row>
    <row r="596" customFormat="false" ht="15" hidden="false" customHeight="false" outlineLevel="0" collapsed="false">
      <c r="E596" s="40"/>
    </row>
    <row r="597" customFormat="false" ht="15" hidden="false" customHeight="false" outlineLevel="0" collapsed="false">
      <c r="E597" s="40"/>
    </row>
    <row r="598" customFormat="false" ht="15" hidden="false" customHeight="false" outlineLevel="0" collapsed="false">
      <c r="E598" s="40"/>
    </row>
    <row r="599" customFormat="false" ht="15" hidden="false" customHeight="false" outlineLevel="0" collapsed="false">
      <c r="E599" s="40"/>
    </row>
    <row r="600" customFormat="false" ht="15" hidden="false" customHeight="false" outlineLevel="0" collapsed="false">
      <c r="E600" s="40"/>
    </row>
    <row r="601" customFormat="false" ht="15" hidden="false" customHeight="false" outlineLevel="0" collapsed="false">
      <c r="E601" s="40"/>
    </row>
    <row r="602" customFormat="false" ht="15" hidden="false" customHeight="false" outlineLevel="0" collapsed="false">
      <c r="E602" s="40"/>
    </row>
    <row r="603" customFormat="false" ht="15" hidden="false" customHeight="false" outlineLevel="0" collapsed="false">
      <c r="E603" s="40"/>
    </row>
    <row r="604" customFormat="false" ht="15" hidden="false" customHeight="false" outlineLevel="0" collapsed="false">
      <c r="E604" s="40"/>
    </row>
    <row r="605" customFormat="false" ht="15" hidden="false" customHeight="false" outlineLevel="0" collapsed="false">
      <c r="E605" s="40"/>
    </row>
    <row r="606" customFormat="false" ht="15" hidden="false" customHeight="false" outlineLevel="0" collapsed="false">
      <c r="E606" s="40"/>
    </row>
    <row r="607" customFormat="false" ht="15" hidden="false" customHeight="false" outlineLevel="0" collapsed="false">
      <c r="E607" s="40"/>
    </row>
    <row r="608" customFormat="false" ht="15" hidden="false" customHeight="false" outlineLevel="0" collapsed="false">
      <c r="E608" s="40"/>
    </row>
    <row r="609" customFormat="false" ht="15" hidden="false" customHeight="false" outlineLevel="0" collapsed="false">
      <c r="E609" s="40"/>
    </row>
    <row r="610" customFormat="false" ht="15" hidden="false" customHeight="false" outlineLevel="0" collapsed="false">
      <c r="E610" s="40"/>
    </row>
    <row r="611" customFormat="false" ht="15" hidden="false" customHeight="false" outlineLevel="0" collapsed="false">
      <c r="E611" s="40"/>
    </row>
    <row r="612" customFormat="false" ht="15" hidden="false" customHeight="false" outlineLevel="0" collapsed="false">
      <c r="E612" s="40"/>
    </row>
    <row r="613" customFormat="false" ht="15" hidden="false" customHeight="false" outlineLevel="0" collapsed="false">
      <c r="E613" s="40"/>
    </row>
    <row r="614" customFormat="false" ht="15" hidden="false" customHeight="false" outlineLevel="0" collapsed="false">
      <c r="E614" s="40"/>
    </row>
    <row r="615" customFormat="false" ht="15" hidden="false" customHeight="false" outlineLevel="0" collapsed="false">
      <c r="E615" s="40"/>
    </row>
    <row r="616" customFormat="false" ht="15" hidden="false" customHeight="false" outlineLevel="0" collapsed="false">
      <c r="E616" s="40"/>
    </row>
    <row r="617" customFormat="false" ht="15" hidden="false" customHeight="false" outlineLevel="0" collapsed="false">
      <c r="E617" s="40"/>
    </row>
    <row r="618" customFormat="false" ht="15" hidden="false" customHeight="false" outlineLevel="0" collapsed="false">
      <c r="E618" s="40"/>
    </row>
    <row r="619" customFormat="false" ht="15" hidden="false" customHeight="false" outlineLevel="0" collapsed="false">
      <c r="E619" s="40"/>
    </row>
    <row r="620" customFormat="false" ht="15" hidden="false" customHeight="false" outlineLevel="0" collapsed="false">
      <c r="E620" s="40"/>
    </row>
    <row r="621" customFormat="false" ht="15" hidden="false" customHeight="false" outlineLevel="0" collapsed="false">
      <c r="E621" s="40"/>
    </row>
    <row r="622" customFormat="false" ht="15" hidden="false" customHeight="false" outlineLevel="0" collapsed="false">
      <c r="E622" s="40"/>
    </row>
    <row r="623" customFormat="false" ht="15" hidden="false" customHeight="false" outlineLevel="0" collapsed="false">
      <c r="E623" s="40"/>
    </row>
    <row r="624" customFormat="false" ht="15" hidden="false" customHeight="false" outlineLevel="0" collapsed="false">
      <c r="E624" s="40"/>
    </row>
    <row r="625" customFormat="false" ht="15" hidden="false" customHeight="false" outlineLevel="0" collapsed="false">
      <c r="E625" s="40"/>
    </row>
    <row r="626" customFormat="false" ht="15" hidden="false" customHeight="false" outlineLevel="0" collapsed="false">
      <c r="E626" s="40"/>
    </row>
    <row r="627" customFormat="false" ht="15" hidden="false" customHeight="false" outlineLevel="0" collapsed="false">
      <c r="E627" s="40"/>
    </row>
    <row r="628" customFormat="false" ht="15" hidden="false" customHeight="false" outlineLevel="0" collapsed="false">
      <c r="E628" s="40"/>
    </row>
    <row r="629" customFormat="false" ht="15" hidden="false" customHeight="false" outlineLevel="0" collapsed="false">
      <c r="E629" s="40"/>
    </row>
    <row r="630" customFormat="false" ht="15" hidden="false" customHeight="false" outlineLevel="0" collapsed="false">
      <c r="E630" s="40"/>
    </row>
    <row r="631" customFormat="false" ht="15" hidden="false" customHeight="false" outlineLevel="0" collapsed="false">
      <c r="E631" s="40"/>
    </row>
    <row r="632" customFormat="false" ht="15" hidden="false" customHeight="false" outlineLevel="0" collapsed="false">
      <c r="E632" s="40"/>
    </row>
    <row r="633" customFormat="false" ht="15" hidden="false" customHeight="false" outlineLevel="0" collapsed="false">
      <c r="E633" s="40"/>
    </row>
    <row r="634" customFormat="false" ht="15" hidden="false" customHeight="false" outlineLevel="0" collapsed="false">
      <c r="E634" s="40"/>
    </row>
    <row r="635" customFormat="false" ht="15" hidden="false" customHeight="false" outlineLevel="0" collapsed="false">
      <c r="E635" s="40"/>
    </row>
    <row r="636" customFormat="false" ht="15" hidden="false" customHeight="false" outlineLevel="0" collapsed="false">
      <c r="E636" s="40"/>
    </row>
    <row r="637" customFormat="false" ht="15" hidden="false" customHeight="false" outlineLevel="0" collapsed="false">
      <c r="E637" s="40"/>
    </row>
    <row r="638" customFormat="false" ht="15" hidden="false" customHeight="false" outlineLevel="0" collapsed="false">
      <c r="E638" s="40"/>
    </row>
    <row r="639" customFormat="false" ht="15" hidden="false" customHeight="false" outlineLevel="0" collapsed="false">
      <c r="E639" s="40"/>
    </row>
    <row r="640" customFormat="false" ht="15" hidden="false" customHeight="false" outlineLevel="0" collapsed="false">
      <c r="E640" s="40"/>
    </row>
    <row r="641" customFormat="false" ht="15" hidden="false" customHeight="false" outlineLevel="0" collapsed="false">
      <c r="E641" s="40"/>
    </row>
    <row r="642" customFormat="false" ht="15" hidden="false" customHeight="false" outlineLevel="0" collapsed="false">
      <c r="E642" s="40"/>
    </row>
    <row r="643" customFormat="false" ht="15" hidden="false" customHeight="false" outlineLevel="0" collapsed="false">
      <c r="E643" s="40"/>
    </row>
    <row r="644" customFormat="false" ht="15" hidden="false" customHeight="false" outlineLevel="0" collapsed="false">
      <c r="E644" s="40"/>
    </row>
    <row r="645" customFormat="false" ht="15" hidden="false" customHeight="false" outlineLevel="0" collapsed="false">
      <c r="E645" s="40"/>
    </row>
    <row r="646" customFormat="false" ht="15" hidden="false" customHeight="false" outlineLevel="0" collapsed="false">
      <c r="E646" s="40"/>
    </row>
    <row r="647" customFormat="false" ht="15" hidden="false" customHeight="false" outlineLevel="0" collapsed="false">
      <c r="E647" s="40"/>
    </row>
    <row r="648" customFormat="false" ht="15" hidden="false" customHeight="false" outlineLevel="0" collapsed="false">
      <c r="E648" s="40"/>
    </row>
    <row r="649" customFormat="false" ht="15" hidden="false" customHeight="false" outlineLevel="0" collapsed="false">
      <c r="E649" s="40"/>
    </row>
    <row r="650" customFormat="false" ht="15" hidden="false" customHeight="false" outlineLevel="0" collapsed="false">
      <c r="E650" s="40"/>
    </row>
    <row r="651" customFormat="false" ht="15" hidden="false" customHeight="false" outlineLevel="0" collapsed="false">
      <c r="E651" s="40"/>
    </row>
    <row r="652" customFormat="false" ht="15" hidden="false" customHeight="false" outlineLevel="0" collapsed="false">
      <c r="E652" s="40"/>
    </row>
    <row r="653" customFormat="false" ht="15" hidden="false" customHeight="false" outlineLevel="0" collapsed="false">
      <c r="E653" s="40"/>
    </row>
    <row r="654" customFormat="false" ht="15" hidden="false" customHeight="false" outlineLevel="0" collapsed="false">
      <c r="E654" s="40"/>
    </row>
    <row r="655" customFormat="false" ht="15" hidden="false" customHeight="false" outlineLevel="0" collapsed="false">
      <c r="E655" s="40"/>
    </row>
    <row r="656" customFormat="false" ht="15" hidden="false" customHeight="false" outlineLevel="0" collapsed="false">
      <c r="E656" s="40"/>
    </row>
    <row r="657" customFormat="false" ht="15" hidden="false" customHeight="false" outlineLevel="0" collapsed="false">
      <c r="E657" s="40"/>
    </row>
    <row r="658" customFormat="false" ht="15" hidden="false" customHeight="false" outlineLevel="0" collapsed="false">
      <c r="E658" s="40"/>
    </row>
    <row r="659" customFormat="false" ht="15" hidden="false" customHeight="false" outlineLevel="0" collapsed="false">
      <c r="E659" s="40"/>
    </row>
    <row r="660" customFormat="false" ht="15" hidden="false" customHeight="false" outlineLevel="0" collapsed="false">
      <c r="E660" s="40"/>
    </row>
    <row r="661" customFormat="false" ht="15" hidden="false" customHeight="false" outlineLevel="0" collapsed="false">
      <c r="E661" s="40"/>
    </row>
    <row r="662" customFormat="false" ht="15" hidden="false" customHeight="false" outlineLevel="0" collapsed="false">
      <c r="E662" s="40"/>
    </row>
    <row r="663" customFormat="false" ht="15" hidden="false" customHeight="false" outlineLevel="0" collapsed="false">
      <c r="E663" s="40"/>
    </row>
    <row r="664" customFormat="false" ht="15" hidden="false" customHeight="false" outlineLevel="0" collapsed="false">
      <c r="E664" s="40"/>
    </row>
    <row r="665" customFormat="false" ht="15" hidden="false" customHeight="false" outlineLevel="0" collapsed="false">
      <c r="E665" s="40"/>
    </row>
    <row r="666" customFormat="false" ht="15" hidden="false" customHeight="false" outlineLevel="0" collapsed="false">
      <c r="E666" s="40"/>
    </row>
    <row r="667" customFormat="false" ht="15" hidden="false" customHeight="false" outlineLevel="0" collapsed="false">
      <c r="E667" s="40"/>
    </row>
    <row r="668" customFormat="false" ht="15" hidden="false" customHeight="false" outlineLevel="0" collapsed="false">
      <c r="E668" s="40"/>
    </row>
    <row r="669" customFormat="false" ht="15" hidden="false" customHeight="false" outlineLevel="0" collapsed="false">
      <c r="E669" s="40"/>
    </row>
    <row r="670" customFormat="false" ht="15" hidden="false" customHeight="false" outlineLevel="0" collapsed="false">
      <c r="E670" s="40"/>
    </row>
    <row r="671" customFormat="false" ht="15" hidden="false" customHeight="false" outlineLevel="0" collapsed="false">
      <c r="E671" s="40"/>
    </row>
    <row r="672" customFormat="false" ht="15" hidden="false" customHeight="false" outlineLevel="0" collapsed="false">
      <c r="E672" s="40"/>
    </row>
    <row r="673" customFormat="false" ht="15" hidden="false" customHeight="false" outlineLevel="0" collapsed="false">
      <c r="E673" s="40"/>
    </row>
    <row r="674" customFormat="false" ht="15" hidden="false" customHeight="false" outlineLevel="0" collapsed="false">
      <c r="E674" s="40"/>
    </row>
    <row r="675" customFormat="false" ht="15" hidden="false" customHeight="false" outlineLevel="0" collapsed="false">
      <c r="E675" s="40"/>
    </row>
    <row r="676" customFormat="false" ht="15" hidden="false" customHeight="false" outlineLevel="0" collapsed="false">
      <c r="E676" s="40"/>
    </row>
    <row r="677" customFormat="false" ht="15" hidden="false" customHeight="false" outlineLevel="0" collapsed="false">
      <c r="E677" s="40"/>
    </row>
    <row r="678" customFormat="false" ht="15" hidden="false" customHeight="false" outlineLevel="0" collapsed="false">
      <c r="E678" s="40"/>
    </row>
    <row r="679" customFormat="false" ht="15" hidden="false" customHeight="false" outlineLevel="0" collapsed="false">
      <c r="E679" s="40"/>
    </row>
    <row r="680" customFormat="false" ht="15" hidden="false" customHeight="false" outlineLevel="0" collapsed="false">
      <c r="E680" s="40"/>
    </row>
    <row r="681" customFormat="false" ht="15" hidden="false" customHeight="false" outlineLevel="0" collapsed="false">
      <c r="E681" s="40"/>
    </row>
    <row r="682" customFormat="false" ht="15" hidden="false" customHeight="false" outlineLevel="0" collapsed="false">
      <c r="E682" s="40"/>
    </row>
    <row r="683" customFormat="false" ht="15" hidden="false" customHeight="false" outlineLevel="0" collapsed="false">
      <c r="E683" s="40"/>
    </row>
    <row r="684" customFormat="false" ht="15" hidden="false" customHeight="false" outlineLevel="0" collapsed="false">
      <c r="E684" s="40"/>
    </row>
    <row r="685" customFormat="false" ht="15" hidden="false" customHeight="false" outlineLevel="0" collapsed="false">
      <c r="E685" s="40"/>
    </row>
    <row r="686" customFormat="false" ht="15" hidden="false" customHeight="false" outlineLevel="0" collapsed="false">
      <c r="E686" s="40"/>
    </row>
    <row r="687" customFormat="false" ht="15" hidden="false" customHeight="false" outlineLevel="0" collapsed="false">
      <c r="E687" s="40"/>
    </row>
    <row r="688" customFormat="false" ht="15" hidden="false" customHeight="false" outlineLevel="0" collapsed="false">
      <c r="E688" s="40"/>
    </row>
    <row r="689" customFormat="false" ht="15" hidden="false" customHeight="false" outlineLevel="0" collapsed="false">
      <c r="E689" s="40"/>
    </row>
    <row r="690" customFormat="false" ht="15" hidden="false" customHeight="false" outlineLevel="0" collapsed="false">
      <c r="E690" s="40"/>
    </row>
    <row r="691" customFormat="false" ht="15" hidden="false" customHeight="false" outlineLevel="0" collapsed="false">
      <c r="E691" s="40"/>
    </row>
    <row r="692" customFormat="false" ht="15" hidden="false" customHeight="false" outlineLevel="0" collapsed="false">
      <c r="E692" s="40"/>
    </row>
    <row r="693" customFormat="false" ht="15" hidden="false" customHeight="false" outlineLevel="0" collapsed="false">
      <c r="E693" s="40"/>
    </row>
    <row r="694" customFormat="false" ht="15" hidden="false" customHeight="false" outlineLevel="0" collapsed="false">
      <c r="E694" s="40"/>
    </row>
    <row r="695" customFormat="false" ht="15" hidden="false" customHeight="false" outlineLevel="0" collapsed="false">
      <c r="E695" s="40"/>
    </row>
    <row r="696" customFormat="false" ht="15" hidden="false" customHeight="false" outlineLevel="0" collapsed="false">
      <c r="E696" s="40"/>
    </row>
    <row r="697" customFormat="false" ht="15" hidden="false" customHeight="false" outlineLevel="0" collapsed="false">
      <c r="E697" s="40"/>
    </row>
    <row r="698" customFormat="false" ht="15" hidden="false" customHeight="false" outlineLevel="0" collapsed="false">
      <c r="E698" s="40"/>
    </row>
    <row r="699" customFormat="false" ht="15" hidden="false" customHeight="false" outlineLevel="0" collapsed="false">
      <c r="E699" s="40"/>
    </row>
    <row r="700" customFormat="false" ht="15" hidden="false" customHeight="false" outlineLevel="0" collapsed="false">
      <c r="E700" s="40"/>
    </row>
    <row r="701" customFormat="false" ht="15" hidden="false" customHeight="false" outlineLevel="0" collapsed="false">
      <c r="E701" s="40"/>
    </row>
    <row r="702" customFormat="false" ht="15" hidden="false" customHeight="false" outlineLevel="0" collapsed="false">
      <c r="E702" s="40"/>
    </row>
    <row r="703" customFormat="false" ht="15" hidden="false" customHeight="false" outlineLevel="0" collapsed="false">
      <c r="E703" s="40"/>
    </row>
    <row r="704" customFormat="false" ht="15" hidden="false" customHeight="false" outlineLevel="0" collapsed="false">
      <c r="E704" s="40"/>
    </row>
    <row r="705" customFormat="false" ht="15" hidden="false" customHeight="false" outlineLevel="0" collapsed="false">
      <c r="E705" s="40"/>
    </row>
    <row r="706" customFormat="false" ht="15" hidden="false" customHeight="false" outlineLevel="0" collapsed="false">
      <c r="E706" s="40"/>
    </row>
    <row r="707" customFormat="false" ht="15" hidden="false" customHeight="false" outlineLevel="0" collapsed="false">
      <c r="E707" s="40"/>
    </row>
    <row r="708" customFormat="false" ht="15" hidden="false" customHeight="false" outlineLevel="0" collapsed="false">
      <c r="E708" s="40"/>
    </row>
    <row r="709" customFormat="false" ht="15" hidden="false" customHeight="false" outlineLevel="0" collapsed="false">
      <c r="E709" s="40"/>
    </row>
    <row r="710" customFormat="false" ht="15" hidden="false" customHeight="false" outlineLevel="0" collapsed="false">
      <c r="E710" s="40"/>
    </row>
    <row r="711" customFormat="false" ht="15" hidden="false" customHeight="false" outlineLevel="0" collapsed="false">
      <c r="E711" s="40"/>
    </row>
    <row r="712" customFormat="false" ht="15" hidden="false" customHeight="false" outlineLevel="0" collapsed="false">
      <c r="E712" s="40"/>
    </row>
    <row r="713" customFormat="false" ht="15" hidden="false" customHeight="false" outlineLevel="0" collapsed="false">
      <c r="E713" s="40"/>
    </row>
    <row r="714" customFormat="false" ht="15" hidden="false" customHeight="false" outlineLevel="0" collapsed="false">
      <c r="E714" s="40"/>
    </row>
    <row r="715" customFormat="false" ht="15" hidden="false" customHeight="false" outlineLevel="0" collapsed="false">
      <c r="E715" s="40"/>
    </row>
    <row r="716" customFormat="false" ht="15" hidden="false" customHeight="false" outlineLevel="0" collapsed="false">
      <c r="E716" s="40"/>
    </row>
    <row r="717" customFormat="false" ht="15" hidden="false" customHeight="false" outlineLevel="0" collapsed="false">
      <c r="E717" s="40"/>
    </row>
    <row r="718" customFormat="false" ht="15" hidden="false" customHeight="false" outlineLevel="0" collapsed="false">
      <c r="E718" s="40"/>
    </row>
    <row r="719" customFormat="false" ht="15" hidden="false" customHeight="false" outlineLevel="0" collapsed="false">
      <c r="E719" s="40"/>
    </row>
    <row r="720" customFormat="false" ht="15" hidden="false" customHeight="false" outlineLevel="0" collapsed="false">
      <c r="E720" s="40"/>
    </row>
    <row r="721" customFormat="false" ht="15" hidden="false" customHeight="false" outlineLevel="0" collapsed="false">
      <c r="E721" s="40"/>
    </row>
    <row r="722" customFormat="false" ht="15" hidden="false" customHeight="false" outlineLevel="0" collapsed="false">
      <c r="E722" s="40"/>
    </row>
    <row r="723" customFormat="false" ht="15" hidden="false" customHeight="false" outlineLevel="0" collapsed="false">
      <c r="E723" s="40"/>
    </row>
    <row r="724" customFormat="false" ht="15" hidden="false" customHeight="false" outlineLevel="0" collapsed="false">
      <c r="E724" s="40"/>
    </row>
    <row r="725" customFormat="false" ht="15" hidden="false" customHeight="false" outlineLevel="0" collapsed="false">
      <c r="E725" s="40"/>
    </row>
    <row r="726" customFormat="false" ht="15" hidden="false" customHeight="false" outlineLevel="0" collapsed="false">
      <c r="E726" s="40"/>
    </row>
    <row r="727" customFormat="false" ht="15" hidden="false" customHeight="false" outlineLevel="0" collapsed="false">
      <c r="E727" s="40"/>
    </row>
    <row r="728" customFormat="false" ht="15" hidden="false" customHeight="false" outlineLevel="0" collapsed="false">
      <c r="E728" s="40"/>
    </row>
    <row r="729" customFormat="false" ht="15" hidden="false" customHeight="false" outlineLevel="0" collapsed="false">
      <c r="E729" s="40"/>
    </row>
    <row r="730" customFormat="false" ht="15" hidden="false" customHeight="false" outlineLevel="0" collapsed="false">
      <c r="E730" s="40"/>
    </row>
    <row r="731" customFormat="false" ht="15" hidden="false" customHeight="false" outlineLevel="0" collapsed="false">
      <c r="E731" s="40"/>
    </row>
    <row r="732" customFormat="false" ht="15" hidden="false" customHeight="false" outlineLevel="0" collapsed="false">
      <c r="E732" s="40"/>
    </row>
    <row r="733" customFormat="false" ht="15" hidden="false" customHeight="false" outlineLevel="0" collapsed="false">
      <c r="E733" s="40"/>
    </row>
    <row r="734" customFormat="false" ht="15" hidden="false" customHeight="false" outlineLevel="0" collapsed="false">
      <c r="E734" s="40"/>
    </row>
    <row r="735" customFormat="false" ht="15" hidden="false" customHeight="false" outlineLevel="0" collapsed="false">
      <c r="E735" s="40"/>
    </row>
    <row r="736" customFormat="false" ht="15" hidden="false" customHeight="false" outlineLevel="0" collapsed="false">
      <c r="E736" s="40"/>
    </row>
    <row r="737" customFormat="false" ht="15" hidden="false" customHeight="false" outlineLevel="0" collapsed="false">
      <c r="E737" s="40"/>
    </row>
    <row r="738" customFormat="false" ht="15" hidden="false" customHeight="false" outlineLevel="0" collapsed="false">
      <c r="E738" s="40"/>
    </row>
    <row r="739" customFormat="false" ht="15" hidden="false" customHeight="false" outlineLevel="0" collapsed="false">
      <c r="E739" s="40"/>
    </row>
    <row r="740" customFormat="false" ht="15" hidden="false" customHeight="false" outlineLevel="0" collapsed="false">
      <c r="E740" s="40"/>
    </row>
    <row r="741" customFormat="false" ht="15" hidden="false" customHeight="false" outlineLevel="0" collapsed="false">
      <c r="E741" s="40"/>
    </row>
    <row r="742" customFormat="false" ht="15" hidden="false" customHeight="false" outlineLevel="0" collapsed="false">
      <c r="E742" s="40"/>
    </row>
    <row r="743" customFormat="false" ht="15" hidden="false" customHeight="false" outlineLevel="0" collapsed="false">
      <c r="E743" s="40"/>
    </row>
    <row r="744" customFormat="false" ht="15" hidden="false" customHeight="false" outlineLevel="0" collapsed="false">
      <c r="E744" s="40"/>
    </row>
    <row r="745" customFormat="false" ht="15" hidden="false" customHeight="false" outlineLevel="0" collapsed="false">
      <c r="E745" s="40"/>
    </row>
    <row r="746" customFormat="false" ht="15" hidden="false" customHeight="false" outlineLevel="0" collapsed="false">
      <c r="E746" s="40"/>
    </row>
    <row r="747" customFormat="false" ht="15" hidden="false" customHeight="false" outlineLevel="0" collapsed="false">
      <c r="E747" s="40"/>
    </row>
    <row r="748" customFormat="false" ht="15" hidden="false" customHeight="false" outlineLevel="0" collapsed="false">
      <c r="E748" s="40"/>
    </row>
    <row r="749" customFormat="false" ht="15" hidden="false" customHeight="false" outlineLevel="0" collapsed="false">
      <c r="E749" s="40"/>
    </row>
    <row r="750" customFormat="false" ht="15" hidden="false" customHeight="false" outlineLevel="0" collapsed="false">
      <c r="E750" s="40"/>
    </row>
    <row r="751" customFormat="false" ht="15" hidden="false" customHeight="false" outlineLevel="0" collapsed="false">
      <c r="E751" s="40"/>
    </row>
    <row r="752" customFormat="false" ht="15" hidden="false" customHeight="false" outlineLevel="0" collapsed="false">
      <c r="E752" s="40"/>
    </row>
    <row r="753" customFormat="false" ht="15" hidden="false" customHeight="false" outlineLevel="0" collapsed="false">
      <c r="E753" s="40"/>
    </row>
    <row r="754" customFormat="false" ht="15" hidden="false" customHeight="false" outlineLevel="0" collapsed="false">
      <c r="E754" s="40"/>
    </row>
    <row r="755" customFormat="false" ht="15" hidden="false" customHeight="false" outlineLevel="0" collapsed="false">
      <c r="E755" s="40"/>
    </row>
    <row r="756" customFormat="false" ht="15" hidden="false" customHeight="false" outlineLevel="0" collapsed="false">
      <c r="E756" s="40"/>
    </row>
    <row r="757" customFormat="false" ht="15" hidden="false" customHeight="false" outlineLevel="0" collapsed="false">
      <c r="E757" s="40"/>
    </row>
    <row r="758" customFormat="false" ht="15" hidden="false" customHeight="false" outlineLevel="0" collapsed="false">
      <c r="E758" s="40"/>
    </row>
    <row r="759" customFormat="false" ht="15" hidden="false" customHeight="false" outlineLevel="0" collapsed="false">
      <c r="E759" s="40"/>
    </row>
    <row r="760" customFormat="false" ht="15" hidden="false" customHeight="false" outlineLevel="0" collapsed="false">
      <c r="E760" s="40"/>
    </row>
    <row r="761" customFormat="false" ht="15" hidden="false" customHeight="false" outlineLevel="0" collapsed="false">
      <c r="E761" s="40"/>
    </row>
    <row r="762" customFormat="false" ht="15" hidden="false" customHeight="false" outlineLevel="0" collapsed="false">
      <c r="E762" s="40"/>
    </row>
    <row r="763" customFormat="false" ht="15" hidden="false" customHeight="false" outlineLevel="0" collapsed="false">
      <c r="E763" s="40"/>
    </row>
    <row r="764" customFormat="false" ht="15" hidden="false" customHeight="false" outlineLevel="0" collapsed="false">
      <c r="E764" s="40"/>
    </row>
    <row r="765" customFormat="false" ht="15" hidden="false" customHeight="false" outlineLevel="0" collapsed="false">
      <c r="E765" s="40"/>
    </row>
    <row r="766" customFormat="false" ht="15" hidden="false" customHeight="false" outlineLevel="0" collapsed="false">
      <c r="E766" s="40"/>
    </row>
    <row r="767" customFormat="false" ht="15" hidden="false" customHeight="false" outlineLevel="0" collapsed="false">
      <c r="E767" s="40"/>
    </row>
    <row r="768" customFormat="false" ht="15" hidden="false" customHeight="false" outlineLevel="0" collapsed="false">
      <c r="E768" s="40"/>
    </row>
    <row r="769" customFormat="false" ht="15" hidden="false" customHeight="false" outlineLevel="0" collapsed="false">
      <c r="E769" s="40"/>
    </row>
    <row r="770" customFormat="false" ht="15" hidden="false" customHeight="false" outlineLevel="0" collapsed="false">
      <c r="E770" s="40"/>
    </row>
    <row r="771" customFormat="false" ht="15" hidden="false" customHeight="false" outlineLevel="0" collapsed="false">
      <c r="E771" s="40"/>
    </row>
    <row r="772" customFormat="false" ht="15" hidden="false" customHeight="false" outlineLevel="0" collapsed="false">
      <c r="E772" s="40"/>
    </row>
    <row r="773" customFormat="false" ht="15" hidden="false" customHeight="false" outlineLevel="0" collapsed="false">
      <c r="E773" s="40"/>
    </row>
    <row r="774" customFormat="false" ht="15" hidden="false" customHeight="false" outlineLevel="0" collapsed="false">
      <c r="E774" s="40"/>
    </row>
    <row r="775" customFormat="false" ht="15" hidden="false" customHeight="false" outlineLevel="0" collapsed="false">
      <c r="E775" s="40"/>
    </row>
    <row r="776" customFormat="false" ht="15" hidden="false" customHeight="false" outlineLevel="0" collapsed="false">
      <c r="E776" s="40"/>
    </row>
    <row r="777" customFormat="false" ht="15" hidden="false" customHeight="false" outlineLevel="0" collapsed="false">
      <c r="E777" s="40"/>
    </row>
    <row r="778" customFormat="false" ht="15" hidden="false" customHeight="false" outlineLevel="0" collapsed="false">
      <c r="E778" s="40"/>
    </row>
    <row r="779" customFormat="false" ht="15" hidden="false" customHeight="false" outlineLevel="0" collapsed="false">
      <c r="E779" s="40"/>
    </row>
    <row r="780" customFormat="false" ht="15" hidden="false" customHeight="false" outlineLevel="0" collapsed="false">
      <c r="E780" s="40"/>
    </row>
    <row r="781" customFormat="false" ht="15" hidden="false" customHeight="false" outlineLevel="0" collapsed="false">
      <c r="E781" s="40"/>
    </row>
    <row r="782" customFormat="false" ht="15" hidden="false" customHeight="false" outlineLevel="0" collapsed="false">
      <c r="E782" s="40"/>
    </row>
    <row r="783" customFormat="false" ht="15" hidden="false" customHeight="false" outlineLevel="0" collapsed="false">
      <c r="E783" s="40"/>
    </row>
    <row r="784" customFormat="false" ht="15" hidden="false" customHeight="false" outlineLevel="0" collapsed="false">
      <c r="E784" s="40"/>
    </row>
    <row r="785" customFormat="false" ht="15" hidden="false" customHeight="false" outlineLevel="0" collapsed="false">
      <c r="E785" s="40"/>
    </row>
    <row r="786" customFormat="false" ht="15" hidden="false" customHeight="false" outlineLevel="0" collapsed="false">
      <c r="E786" s="40"/>
    </row>
    <row r="787" customFormat="false" ht="15" hidden="false" customHeight="false" outlineLevel="0" collapsed="false">
      <c r="E787" s="40"/>
    </row>
    <row r="788" customFormat="false" ht="15" hidden="false" customHeight="false" outlineLevel="0" collapsed="false">
      <c r="E788" s="40"/>
    </row>
    <row r="789" customFormat="false" ht="15" hidden="false" customHeight="false" outlineLevel="0" collapsed="false">
      <c r="E789" s="40"/>
    </row>
    <row r="790" customFormat="false" ht="15" hidden="false" customHeight="false" outlineLevel="0" collapsed="false">
      <c r="E790" s="40"/>
    </row>
    <row r="791" customFormat="false" ht="15" hidden="false" customHeight="false" outlineLevel="0" collapsed="false">
      <c r="E791" s="40"/>
    </row>
    <row r="792" customFormat="false" ht="15" hidden="false" customHeight="false" outlineLevel="0" collapsed="false">
      <c r="E792" s="40"/>
    </row>
    <row r="793" customFormat="false" ht="15" hidden="false" customHeight="false" outlineLevel="0" collapsed="false">
      <c r="E793" s="40"/>
    </row>
    <row r="794" customFormat="false" ht="15" hidden="false" customHeight="false" outlineLevel="0" collapsed="false">
      <c r="E794" s="40"/>
    </row>
    <row r="795" customFormat="false" ht="15" hidden="false" customHeight="false" outlineLevel="0" collapsed="false">
      <c r="E795" s="40"/>
    </row>
    <row r="796" customFormat="false" ht="15" hidden="false" customHeight="false" outlineLevel="0" collapsed="false">
      <c r="E796" s="40"/>
    </row>
    <row r="797" customFormat="false" ht="15" hidden="false" customHeight="false" outlineLevel="0" collapsed="false">
      <c r="E797" s="40"/>
    </row>
    <row r="798" customFormat="false" ht="15" hidden="false" customHeight="false" outlineLevel="0" collapsed="false">
      <c r="E798" s="40"/>
    </row>
    <row r="799" customFormat="false" ht="15" hidden="false" customHeight="false" outlineLevel="0" collapsed="false">
      <c r="E799" s="40"/>
    </row>
    <row r="800" customFormat="false" ht="15" hidden="false" customHeight="false" outlineLevel="0" collapsed="false">
      <c r="E800" s="40"/>
    </row>
    <row r="801" customFormat="false" ht="15" hidden="false" customHeight="false" outlineLevel="0" collapsed="false">
      <c r="E801" s="40"/>
    </row>
    <row r="802" customFormat="false" ht="15" hidden="false" customHeight="false" outlineLevel="0" collapsed="false">
      <c r="E802" s="40"/>
    </row>
    <row r="803" customFormat="false" ht="15" hidden="false" customHeight="false" outlineLevel="0" collapsed="false">
      <c r="E803" s="40"/>
    </row>
    <row r="804" customFormat="false" ht="15" hidden="false" customHeight="false" outlineLevel="0" collapsed="false">
      <c r="E804" s="40"/>
    </row>
    <row r="805" customFormat="false" ht="15" hidden="false" customHeight="false" outlineLevel="0" collapsed="false">
      <c r="E805" s="40"/>
    </row>
    <row r="806" customFormat="false" ht="15" hidden="false" customHeight="false" outlineLevel="0" collapsed="false">
      <c r="E806" s="40"/>
    </row>
    <row r="807" customFormat="false" ht="15" hidden="false" customHeight="false" outlineLevel="0" collapsed="false">
      <c r="E807" s="40"/>
    </row>
    <row r="808" customFormat="false" ht="15" hidden="false" customHeight="false" outlineLevel="0" collapsed="false">
      <c r="E808" s="40"/>
    </row>
    <row r="809" customFormat="false" ht="15" hidden="false" customHeight="false" outlineLevel="0" collapsed="false">
      <c r="E809" s="40"/>
    </row>
    <row r="810" customFormat="false" ht="15" hidden="false" customHeight="false" outlineLevel="0" collapsed="false">
      <c r="E810" s="40"/>
    </row>
    <row r="811" customFormat="false" ht="15" hidden="false" customHeight="false" outlineLevel="0" collapsed="false">
      <c r="E811" s="40"/>
    </row>
    <row r="812" customFormat="false" ht="15" hidden="false" customHeight="false" outlineLevel="0" collapsed="false">
      <c r="E812" s="40"/>
    </row>
    <row r="813" customFormat="false" ht="15" hidden="false" customHeight="false" outlineLevel="0" collapsed="false">
      <c r="E813" s="40"/>
    </row>
    <row r="814" customFormat="false" ht="15" hidden="false" customHeight="false" outlineLevel="0" collapsed="false">
      <c r="E814" s="40"/>
    </row>
    <row r="815" customFormat="false" ht="15" hidden="false" customHeight="false" outlineLevel="0" collapsed="false">
      <c r="E815" s="40"/>
    </row>
    <row r="816" customFormat="false" ht="15" hidden="false" customHeight="false" outlineLevel="0" collapsed="false">
      <c r="E816" s="40"/>
    </row>
    <row r="817" customFormat="false" ht="15" hidden="false" customHeight="false" outlineLevel="0" collapsed="false">
      <c r="E817" s="40"/>
    </row>
    <row r="818" customFormat="false" ht="15" hidden="false" customHeight="false" outlineLevel="0" collapsed="false">
      <c r="E818" s="40"/>
    </row>
    <row r="819" customFormat="false" ht="15" hidden="false" customHeight="false" outlineLevel="0" collapsed="false">
      <c r="E819" s="40"/>
    </row>
    <row r="820" customFormat="false" ht="15" hidden="false" customHeight="false" outlineLevel="0" collapsed="false">
      <c r="E820" s="40"/>
    </row>
    <row r="821" customFormat="false" ht="15" hidden="false" customHeight="false" outlineLevel="0" collapsed="false">
      <c r="E821" s="40"/>
    </row>
    <row r="822" customFormat="false" ht="15" hidden="false" customHeight="false" outlineLevel="0" collapsed="false">
      <c r="E822" s="40"/>
    </row>
    <row r="823" customFormat="false" ht="15" hidden="false" customHeight="false" outlineLevel="0" collapsed="false">
      <c r="E823" s="40"/>
    </row>
    <row r="824" customFormat="false" ht="15" hidden="false" customHeight="false" outlineLevel="0" collapsed="false">
      <c r="E824" s="40"/>
    </row>
    <row r="825" customFormat="false" ht="15" hidden="false" customHeight="false" outlineLevel="0" collapsed="false">
      <c r="E825" s="40"/>
    </row>
    <row r="826" customFormat="false" ht="15" hidden="false" customHeight="false" outlineLevel="0" collapsed="false">
      <c r="E826" s="40"/>
    </row>
    <row r="827" customFormat="false" ht="15" hidden="false" customHeight="false" outlineLevel="0" collapsed="false">
      <c r="E827" s="40"/>
    </row>
    <row r="828" customFormat="false" ht="15" hidden="false" customHeight="false" outlineLevel="0" collapsed="false">
      <c r="E828" s="40"/>
    </row>
    <row r="829" customFormat="false" ht="15" hidden="false" customHeight="false" outlineLevel="0" collapsed="false">
      <c r="E829" s="40"/>
    </row>
    <row r="830" customFormat="false" ht="15" hidden="false" customHeight="false" outlineLevel="0" collapsed="false">
      <c r="E830" s="40"/>
    </row>
    <row r="831" customFormat="false" ht="15" hidden="false" customHeight="false" outlineLevel="0" collapsed="false">
      <c r="E831" s="40"/>
    </row>
    <row r="832" customFormat="false" ht="15" hidden="false" customHeight="false" outlineLevel="0" collapsed="false">
      <c r="E832" s="40"/>
    </row>
    <row r="833" customFormat="false" ht="15" hidden="false" customHeight="false" outlineLevel="0" collapsed="false">
      <c r="E833" s="40"/>
    </row>
    <row r="834" customFormat="false" ht="15" hidden="false" customHeight="false" outlineLevel="0" collapsed="false">
      <c r="E834" s="40"/>
    </row>
    <row r="835" customFormat="false" ht="15" hidden="false" customHeight="false" outlineLevel="0" collapsed="false">
      <c r="E835" s="40"/>
    </row>
    <row r="836" customFormat="false" ht="15" hidden="false" customHeight="false" outlineLevel="0" collapsed="false">
      <c r="E836" s="40"/>
    </row>
    <row r="837" customFormat="false" ht="15" hidden="false" customHeight="false" outlineLevel="0" collapsed="false">
      <c r="E837" s="40"/>
    </row>
    <row r="838" customFormat="false" ht="15" hidden="false" customHeight="false" outlineLevel="0" collapsed="false">
      <c r="E838" s="40"/>
    </row>
    <row r="839" customFormat="false" ht="15" hidden="false" customHeight="false" outlineLevel="0" collapsed="false">
      <c r="E839" s="40"/>
    </row>
    <row r="840" customFormat="false" ht="15" hidden="false" customHeight="false" outlineLevel="0" collapsed="false">
      <c r="E840" s="40"/>
    </row>
    <row r="841" customFormat="false" ht="15" hidden="false" customHeight="false" outlineLevel="0" collapsed="false">
      <c r="E841" s="40"/>
    </row>
    <row r="842" customFormat="false" ht="15" hidden="false" customHeight="false" outlineLevel="0" collapsed="false">
      <c r="E842" s="40"/>
    </row>
    <row r="843" customFormat="false" ht="15" hidden="false" customHeight="false" outlineLevel="0" collapsed="false">
      <c r="E843" s="40"/>
    </row>
    <row r="844" customFormat="false" ht="15" hidden="false" customHeight="false" outlineLevel="0" collapsed="false">
      <c r="E844" s="40"/>
    </row>
    <row r="845" customFormat="false" ht="15" hidden="false" customHeight="false" outlineLevel="0" collapsed="false">
      <c r="E845" s="40"/>
    </row>
    <row r="846" customFormat="false" ht="15" hidden="false" customHeight="false" outlineLevel="0" collapsed="false">
      <c r="E846" s="40"/>
    </row>
    <row r="847" customFormat="false" ht="15" hidden="false" customHeight="false" outlineLevel="0" collapsed="false">
      <c r="E847" s="40"/>
    </row>
    <row r="848" customFormat="false" ht="15" hidden="false" customHeight="false" outlineLevel="0" collapsed="false">
      <c r="E848" s="40"/>
    </row>
    <row r="849" customFormat="false" ht="15" hidden="false" customHeight="false" outlineLevel="0" collapsed="false">
      <c r="E849" s="40"/>
    </row>
    <row r="850" customFormat="false" ht="15" hidden="false" customHeight="false" outlineLevel="0" collapsed="false">
      <c r="E850" s="40"/>
    </row>
    <row r="851" customFormat="false" ht="15" hidden="false" customHeight="false" outlineLevel="0" collapsed="false">
      <c r="E851" s="40"/>
    </row>
    <row r="852" customFormat="false" ht="15" hidden="false" customHeight="false" outlineLevel="0" collapsed="false">
      <c r="E852" s="40"/>
    </row>
    <row r="853" customFormat="false" ht="15" hidden="false" customHeight="false" outlineLevel="0" collapsed="false">
      <c r="E853" s="40"/>
    </row>
    <row r="854" customFormat="false" ht="15" hidden="false" customHeight="false" outlineLevel="0" collapsed="false">
      <c r="E854" s="40"/>
    </row>
    <row r="855" customFormat="false" ht="15" hidden="false" customHeight="false" outlineLevel="0" collapsed="false">
      <c r="E855" s="40"/>
    </row>
    <row r="856" customFormat="false" ht="15" hidden="false" customHeight="false" outlineLevel="0" collapsed="false">
      <c r="E856" s="40"/>
    </row>
    <row r="857" customFormat="false" ht="15" hidden="false" customHeight="false" outlineLevel="0" collapsed="false">
      <c r="E857" s="40"/>
    </row>
    <row r="858" customFormat="false" ht="15" hidden="false" customHeight="false" outlineLevel="0" collapsed="false">
      <c r="E858" s="40"/>
    </row>
    <row r="859" customFormat="false" ht="15" hidden="false" customHeight="false" outlineLevel="0" collapsed="false">
      <c r="E859" s="40"/>
    </row>
    <row r="860" customFormat="false" ht="15" hidden="false" customHeight="false" outlineLevel="0" collapsed="false">
      <c r="E860" s="40"/>
    </row>
    <row r="861" customFormat="false" ht="15" hidden="false" customHeight="false" outlineLevel="0" collapsed="false">
      <c r="E861" s="40"/>
    </row>
    <row r="862" customFormat="false" ht="15" hidden="false" customHeight="false" outlineLevel="0" collapsed="false">
      <c r="E862" s="40"/>
    </row>
    <row r="863" customFormat="false" ht="15" hidden="false" customHeight="false" outlineLevel="0" collapsed="false">
      <c r="E863" s="40"/>
    </row>
    <row r="864" customFormat="false" ht="15" hidden="false" customHeight="false" outlineLevel="0" collapsed="false">
      <c r="E864" s="40"/>
    </row>
    <row r="865" customFormat="false" ht="15" hidden="false" customHeight="false" outlineLevel="0" collapsed="false">
      <c r="E865" s="40"/>
    </row>
    <row r="866" customFormat="false" ht="15" hidden="false" customHeight="false" outlineLevel="0" collapsed="false">
      <c r="E866" s="40"/>
    </row>
    <row r="867" customFormat="false" ht="15" hidden="false" customHeight="false" outlineLevel="0" collapsed="false">
      <c r="E867" s="40"/>
    </row>
    <row r="868" customFormat="false" ht="15" hidden="false" customHeight="false" outlineLevel="0" collapsed="false">
      <c r="E868" s="40"/>
    </row>
    <row r="869" customFormat="false" ht="15" hidden="false" customHeight="false" outlineLevel="0" collapsed="false">
      <c r="E869" s="40"/>
    </row>
    <row r="870" customFormat="false" ht="15" hidden="false" customHeight="false" outlineLevel="0" collapsed="false">
      <c r="E870" s="40"/>
    </row>
    <row r="871" customFormat="false" ht="15" hidden="false" customHeight="false" outlineLevel="0" collapsed="false">
      <c r="E871" s="40"/>
    </row>
    <row r="872" customFormat="false" ht="15" hidden="false" customHeight="false" outlineLevel="0" collapsed="false">
      <c r="E872" s="40"/>
    </row>
    <row r="873" customFormat="false" ht="15" hidden="false" customHeight="false" outlineLevel="0" collapsed="false">
      <c r="E873" s="40"/>
    </row>
    <row r="874" customFormat="false" ht="15" hidden="false" customHeight="false" outlineLevel="0" collapsed="false">
      <c r="E874" s="40"/>
    </row>
    <row r="875" customFormat="false" ht="15" hidden="false" customHeight="false" outlineLevel="0" collapsed="false">
      <c r="E875" s="40"/>
    </row>
    <row r="876" customFormat="false" ht="15" hidden="false" customHeight="false" outlineLevel="0" collapsed="false">
      <c r="E876" s="40"/>
    </row>
    <row r="877" customFormat="false" ht="15" hidden="false" customHeight="false" outlineLevel="0" collapsed="false">
      <c r="E877" s="40"/>
    </row>
    <row r="878" customFormat="false" ht="15" hidden="false" customHeight="false" outlineLevel="0" collapsed="false">
      <c r="E878" s="40"/>
    </row>
    <row r="879" customFormat="false" ht="15" hidden="false" customHeight="false" outlineLevel="0" collapsed="false">
      <c r="E879" s="40"/>
    </row>
    <row r="880" customFormat="false" ht="15" hidden="false" customHeight="false" outlineLevel="0" collapsed="false">
      <c r="E880" s="40"/>
    </row>
    <row r="881" customFormat="false" ht="15" hidden="false" customHeight="false" outlineLevel="0" collapsed="false">
      <c r="E881" s="40"/>
    </row>
    <row r="882" customFormat="false" ht="15" hidden="false" customHeight="false" outlineLevel="0" collapsed="false">
      <c r="E882" s="40"/>
    </row>
    <row r="883" customFormat="false" ht="15" hidden="false" customHeight="false" outlineLevel="0" collapsed="false">
      <c r="E883" s="40"/>
    </row>
    <row r="884" customFormat="false" ht="15" hidden="false" customHeight="false" outlineLevel="0" collapsed="false">
      <c r="E884" s="40"/>
    </row>
    <row r="885" customFormat="false" ht="15" hidden="false" customHeight="false" outlineLevel="0" collapsed="false">
      <c r="E885" s="40"/>
    </row>
    <row r="886" customFormat="false" ht="15" hidden="false" customHeight="false" outlineLevel="0" collapsed="false">
      <c r="E886" s="40"/>
    </row>
    <row r="887" customFormat="false" ht="15" hidden="false" customHeight="false" outlineLevel="0" collapsed="false">
      <c r="E887" s="40"/>
    </row>
    <row r="888" customFormat="false" ht="15" hidden="false" customHeight="false" outlineLevel="0" collapsed="false">
      <c r="E888" s="40"/>
    </row>
    <row r="889" customFormat="false" ht="15" hidden="false" customHeight="false" outlineLevel="0" collapsed="false">
      <c r="E889" s="40"/>
    </row>
    <row r="890" customFormat="false" ht="15" hidden="false" customHeight="false" outlineLevel="0" collapsed="false">
      <c r="E890" s="40"/>
    </row>
    <row r="891" customFormat="false" ht="15" hidden="false" customHeight="false" outlineLevel="0" collapsed="false">
      <c r="E891" s="40"/>
    </row>
    <row r="892" customFormat="false" ht="15" hidden="false" customHeight="false" outlineLevel="0" collapsed="false">
      <c r="E892" s="40"/>
    </row>
    <row r="893" customFormat="false" ht="15" hidden="false" customHeight="false" outlineLevel="0" collapsed="false">
      <c r="E893" s="40"/>
    </row>
    <row r="894" customFormat="false" ht="15" hidden="false" customHeight="false" outlineLevel="0" collapsed="false">
      <c r="E894" s="40"/>
    </row>
    <row r="895" customFormat="false" ht="15" hidden="false" customHeight="false" outlineLevel="0" collapsed="false">
      <c r="E895" s="40"/>
    </row>
    <row r="896" customFormat="false" ht="15" hidden="false" customHeight="false" outlineLevel="0" collapsed="false">
      <c r="E896" s="40"/>
    </row>
    <row r="897" customFormat="false" ht="15" hidden="false" customHeight="false" outlineLevel="0" collapsed="false">
      <c r="E897" s="40"/>
    </row>
    <row r="898" customFormat="false" ht="15" hidden="false" customHeight="false" outlineLevel="0" collapsed="false">
      <c r="E898" s="40"/>
    </row>
    <row r="899" customFormat="false" ht="15" hidden="false" customHeight="false" outlineLevel="0" collapsed="false">
      <c r="E899" s="40"/>
    </row>
    <row r="900" customFormat="false" ht="15" hidden="false" customHeight="false" outlineLevel="0" collapsed="false">
      <c r="E900" s="40"/>
    </row>
    <row r="901" customFormat="false" ht="15" hidden="false" customHeight="false" outlineLevel="0" collapsed="false">
      <c r="E901" s="40"/>
    </row>
    <row r="902" customFormat="false" ht="15" hidden="false" customHeight="false" outlineLevel="0" collapsed="false">
      <c r="E902" s="40"/>
    </row>
    <row r="903" customFormat="false" ht="15" hidden="false" customHeight="false" outlineLevel="0" collapsed="false">
      <c r="E903" s="40"/>
    </row>
    <row r="904" customFormat="false" ht="15" hidden="false" customHeight="false" outlineLevel="0" collapsed="false">
      <c r="E904" s="40"/>
    </row>
    <row r="905" customFormat="false" ht="15" hidden="false" customHeight="false" outlineLevel="0" collapsed="false">
      <c r="E905" s="40"/>
    </row>
    <row r="906" customFormat="false" ht="15" hidden="false" customHeight="false" outlineLevel="0" collapsed="false">
      <c r="E906" s="40"/>
    </row>
    <row r="907" customFormat="false" ht="15" hidden="false" customHeight="false" outlineLevel="0" collapsed="false">
      <c r="E907" s="40"/>
    </row>
    <row r="908" customFormat="false" ht="15" hidden="false" customHeight="false" outlineLevel="0" collapsed="false">
      <c r="E908" s="40"/>
    </row>
    <row r="909" customFormat="false" ht="15" hidden="false" customHeight="false" outlineLevel="0" collapsed="false">
      <c r="E909" s="40"/>
    </row>
    <row r="910" customFormat="false" ht="15" hidden="false" customHeight="false" outlineLevel="0" collapsed="false">
      <c r="E910" s="40"/>
    </row>
    <row r="911" customFormat="false" ht="15" hidden="false" customHeight="false" outlineLevel="0" collapsed="false">
      <c r="E911" s="40"/>
    </row>
    <row r="912" customFormat="false" ht="15" hidden="false" customHeight="false" outlineLevel="0" collapsed="false">
      <c r="E912" s="40"/>
    </row>
    <row r="913" customFormat="false" ht="15" hidden="false" customHeight="false" outlineLevel="0" collapsed="false">
      <c r="E913" s="40"/>
    </row>
    <row r="914" customFormat="false" ht="15" hidden="false" customHeight="false" outlineLevel="0" collapsed="false">
      <c r="E914" s="40"/>
    </row>
    <row r="915" customFormat="false" ht="15" hidden="false" customHeight="false" outlineLevel="0" collapsed="false">
      <c r="E915" s="40"/>
    </row>
    <row r="916" customFormat="false" ht="15" hidden="false" customHeight="false" outlineLevel="0" collapsed="false">
      <c r="E916" s="40"/>
    </row>
    <row r="917" customFormat="false" ht="15" hidden="false" customHeight="false" outlineLevel="0" collapsed="false">
      <c r="E917" s="40"/>
    </row>
    <row r="918" customFormat="false" ht="15" hidden="false" customHeight="false" outlineLevel="0" collapsed="false">
      <c r="E918" s="40"/>
    </row>
    <row r="919" customFormat="false" ht="15" hidden="false" customHeight="false" outlineLevel="0" collapsed="false">
      <c r="E919" s="40"/>
    </row>
    <row r="920" customFormat="false" ht="15" hidden="false" customHeight="false" outlineLevel="0" collapsed="false">
      <c r="E920" s="40"/>
    </row>
    <row r="921" customFormat="false" ht="15" hidden="false" customHeight="false" outlineLevel="0" collapsed="false">
      <c r="E921" s="40"/>
    </row>
    <row r="922" customFormat="false" ht="15" hidden="false" customHeight="false" outlineLevel="0" collapsed="false">
      <c r="E922" s="40"/>
    </row>
    <row r="923" customFormat="false" ht="15" hidden="false" customHeight="false" outlineLevel="0" collapsed="false">
      <c r="E923" s="40"/>
    </row>
    <row r="924" customFormat="false" ht="15" hidden="false" customHeight="false" outlineLevel="0" collapsed="false">
      <c r="E924" s="40"/>
    </row>
    <row r="925" customFormat="false" ht="15" hidden="false" customHeight="false" outlineLevel="0" collapsed="false">
      <c r="E925" s="40"/>
    </row>
    <row r="926" customFormat="false" ht="15" hidden="false" customHeight="false" outlineLevel="0" collapsed="false">
      <c r="E926" s="40"/>
    </row>
    <row r="927" customFormat="false" ht="15" hidden="false" customHeight="false" outlineLevel="0" collapsed="false">
      <c r="E927" s="40"/>
    </row>
    <row r="928" customFormat="false" ht="15" hidden="false" customHeight="false" outlineLevel="0" collapsed="false">
      <c r="E928" s="40"/>
    </row>
    <row r="929" customFormat="false" ht="15" hidden="false" customHeight="false" outlineLevel="0" collapsed="false">
      <c r="E929" s="40"/>
    </row>
    <row r="930" customFormat="false" ht="15" hidden="false" customHeight="false" outlineLevel="0" collapsed="false">
      <c r="E930" s="40"/>
    </row>
    <row r="931" customFormat="false" ht="15" hidden="false" customHeight="false" outlineLevel="0" collapsed="false">
      <c r="E931" s="40"/>
    </row>
    <row r="932" customFormat="false" ht="15" hidden="false" customHeight="false" outlineLevel="0" collapsed="false">
      <c r="E932" s="40"/>
    </row>
    <row r="933" customFormat="false" ht="15" hidden="false" customHeight="false" outlineLevel="0" collapsed="false">
      <c r="E933" s="40"/>
    </row>
    <row r="934" customFormat="false" ht="15" hidden="false" customHeight="false" outlineLevel="0" collapsed="false">
      <c r="E934" s="40"/>
    </row>
    <row r="935" customFormat="false" ht="15" hidden="false" customHeight="false" outlineLevel="0" collapsed="false">
      <c r="E935" s="40"/>
    </row>
    <row r="936" customFormat="false" ht="15" hidden="false" customHeight="false" outlineLevel="0" collapsed="false">
      <c r="E936" s="40"/>
    </row>
    <row r="937" customFormat="false" ht="15" hidden="false" customHeight="false" outlineLevel="0" collapsed="false">
      <c r="E937" s="40"/>
    </row>
    <row r="938" customFormat="false" ht="15" hidden="false" customHeight="false" outlineLevel="0" collapsed="false">
      <c r="E938" s="40"/>
    </row>
    <row r="939" customFormat="false" ht="15" hidden="false" customHeight="false" outlineLevel="0" collapsed="false">
      <c r="E939" s="40"/>
    </row>
    <row r="940" customFormat="false" ht="15" hidden="false" customHeight="false" outlineLevel="0" collapsed="false">
      <c r="E940" s="40"/>
    </row>
    <row r="941" customFormat="false" ht="15" hidden="false" customHeight="false" outlineLevel="0" collapsed="false">
      <c r="E941" s="40"/>
    </row>
    <row r="942" customFormat="false" ht="15" hidden="false" customHeight="false" outlineLevel="0" collapsed="false">
      <c r="E942" s="40"/>
    </row>
    <row r="943" customFormat="false" ht="15" hidden="false" customHeight="false" outlineLevel="0" collapsed="false">
      <c r="E943" s="40"/>
    </row>
    <row r="944" customFormat="false" ht="15" hidden="false" customHeight="false" outlineLevel="0" collapsed="false">
      <c r="E944" s="40"/>
    </row>
    <row r="945" customFormat="false" ht="15" hidden="false" customHeight="false" outlineLevel="0" collapsed="false">
      <c r="E945" s="40"/>
    </row>
    <row r="946" customFormat="false" ht="15" hidden="false" customHeight="false" outlineLevel="0" collapsed="false">
      <c r="E946" s="40"/>
    </row>
    <row r="947" customFormat="false" ht="15" hidden="false" customHeight="false" outlineLevel="0" collapsed="false">
      <c r="E947" s="40"/>
    </row>
    <row r="948" customFormat="false" ht="15" hidden="false" customHeight="false" outlineLevel="0" collapsed="false">
      <c r="E948" s="40"/>
    </row>
    <row r="949" customFormat="false" ht="15" hidden="false" customHeight="false" outlineLevel="0" collapsed="false">
      <c r="E949" s="40"/>
    </row>
    <row r="950" customFormat="false" ht="15" hidden="false" customHeight="false" outlineLevel="0" collapsed="false">
      <c r="E950" s="40"/>
    </row>
    <row r="951" customFormat="false" ht="15" hidden="false" customHeight="false" outlineLevel="0" collapsed="false">
      <c r="E951" s="40"/>
    </row>
    <row r="952" customFormat="false" ht="15" hidden="false" customHeight="false" outlineLevel="0" collapsed="false">
      <c r="E952" s="40"/>
    </row>
    <row r="953" customFormat="false" ht="15" hidden="false" customHeight="false" outlineLevel="0" collapsed="false">
      <c r="E953" s="40"/>
    </row>
    <row r="954" customFormat="false" ht="15" hidden="false" customHeight="false" outlineLevel="0" collapsed="false">
      <c r="E954" s="40"/>
    </row>
    <row r="955" customFormat="false" ht="15" hidden="false" customHeight="false" outlineLevel="0" collapsed="false">
      <c r="E955" s="40"/>
    </row>
    <row r="956" customFormat="false" ht="15" hidden="false" customHeight="false" outlineLevel="0" collapsed="false">
      <c r="E956" s="40"/>
    </row>
    <row r="957" customFormat="false" ht="15" hidden="false" customHeight="false" outlineLevel="0" collapsed="false">
      <c r="E957" s="40"/>
    </row>
    <row r="958" customFormat="false" ht="15" hidden="false" customHeight="false" outlineLevel="0" collapsed="false">
      <c r="E958" s="40"/>
    </row>
    <row r="959" customFormat="false" ht="15" hidden="false" customHeight="false" outlineLevel="0" collapsed="false">
      <c r="E959" s="40"/>
    </row>
    <row r="960" customFormat="false" ht="15" hidden="false" customHeight="false" outlineLevel="0" collapsed="false">
      <c r="E960" s="40"/>
    </row>
    <row r="961" customFormat="false" ht="15" hidden="false" customHeight="false" outlineLevel="0" collapsed="false">
      <c r="E961" s="40"/>
    </row>
    <row r="962" customFormat="false" ht="15" hidden="false" customHeight="false" outlineLevel="0" collapsed="false">
      <c r="E962" s="40"/>
    </row>
    <row r="963" customFormat="false" ht="15" hidden="false" customHeight="false" outlineLevel="0" collapsed="false">
      <c r="E963" s="40"/>
    </row>
    <row r="964" customFormat="false" ht="15" hidden="false" customHeight="false" outlineLevel="0" collapsed="false">
      <c r="E964" s="40"/>
    </row>
    <row r="965" customFormat="false" ht="15" hidden="false" customHeight="false" outlineLevel="0" collapsed="false">
      <c r="E965" s="40"/>
    </row>
    <row r="966" customFormat="false" ht="15" hidden="false" customHeight="false" outlineLevel="0" collapsed="false">
      <c r="E966" s="40"/>
    </row>
    <row r="967" customFormat="false" ht="15" hidden="false" customHeight="false" outlineLevel="0" collapsed="false">
      <c r="E967" s="40"/>
    </row>
    <row r="968" customFormat="false" ht="15" hidden="false" customHeight="false" outlineLevel="0" collapsed="false">
      <c r="E968" s="40"/>
    </row>
    <row r="969" customFormat="false" ht="15" hidden="false" customHeight="false" outlineLevel="0" collapsed="false">
      <c r="E969" s="40"/>
    </row>
    <row r="970" customFormat="false" ht="15" hidden="false" customHeight="false" outlineLevel="0" collapsed="false">
      <c r="E970" s="40"/>
    </row>
    <row r="971" customFormat="false" ht="15" hidden="false" customHeight="false" outlineLevel="0" collapsed="false">
      <c r="E971" s="40"/>
    </row>
    <row r="972" customFormat="false" ht="15" hidden="false" customHeight="false" outlineLevel="0" collapsed="false">
      <c r="E972" s="40"/>
    </row>
    <row r="973" customFormat="false" ht="15" hidden="false" customHeight="false" outlineLevel="0" collapsed="false">
      <c r="E973" s="40"/>
    </row>
    <row r="974" customFormat="false" ht="15" hidden="false" customHeight="false" outlineLevel="0" collapsed="false">
      <c r="E974" s="40"/>
    </row>
    <row r="975" customFormat="false" ht="15" hidden="false" customHeight="false" outlineLevel="0" collapsed="false">
      <c r="E975" s="40"/>
    </row>
    <row r="976" customFormat="false" ht="15" hidden="false" customHeight="false" outlineLevel="0" collapsed="false">
      <c r="E976" s="40"/>
    </row>
    <row r="977" customFormat="false" ht="15" hidden="false" customHeight="false" outlineLevel="0" collapsed="false">
      <c r="E977" s="40"/>
    </row>
    <row r="978" customFormat="false" ht="15" hidden="false" customHeight="false" outlineLevel="0" collapsed="false">
      <c r="E978" s="40"/>
    </row>
    <row r="979" customFormat="false" ht="15" hidden="false" customHeight="false" outlineLevel="0" collapsed="false">
      <c r="E979" s="40"/>
    </row>
    <row r="980" customFormat="false" ht="15" hidden="false" customHeight="false" outlineLevel="0" collapsed="false">
      <c r="E980" s="40"/>
    </row>
    <row r="981" customFormat="false" ht="15" hidden="false" customHeight="false" outlineLevel="0" collapsed="false">
      <c r="E981" s="40"/>
    </row>
    <row r="982" customFormat="false" ht="15" hidden="false" customHeight="false" outlineLevel="0" collapsed="false">
      <c r="E982" s="40"/>
    </row>
    <row r="983" customFormat="false" ht="15" hidden="false" customHeight="false" outlineLevel="0" collapsed="false">
      <c r="E983" s="40"/>
    </row>
    <row r="984" customFormat="false" ht="15" hidden="false" customHeight="false" outlineLevel="0" collapsed="false">
      <c r="E984" s="40"/>
    </row>
    <row r="985" customFormat="false" ht="15" hidden="false" customHeight="false" outlineLevel="0" collapsed="false">
      <c r="E985" s="40"/>
    </row>
    <row r="986" customFormat="false" ht="15" hidden="false" customHeight="false" outlineLevel="0" collapsed="false">
      <c r="E986" s="40"/>
    </row>
    <row r="987" customFormat="false" ht="15" hidden="false" customHeight="false" outlineLevel="0" collapsed="false">
      <c r="E987" s="40"/>
    </row>
    <row r="988" customFormat="false" ht="15" hidden="false" customHeight="false" outlineLevel="0" collapsed="false">
      <c r="E988" s="40"/>
    </row>
    <row r="989" customFormat="false" ht="15" hidden="false" customHeight="false" outlineLevel="0" collapsed="false">
      <c r="E989" s="40"/>
    </row>
    <row r="990" customFormat="false" ht="15" hidden="false" customHeight="false" outlineLevel="0" collapsed="false">
      <c r="E990" s="40"/>
    </row>
    <row r="991" customFormat="false" ht="15" hidden="false" customHeight="false" outlineLevel="0" collapsed="false">
      <c r="E991" s="40"/>
    </row>
    <row r="992" customFormat="false" ht="15" hidden="false" customHeight="false" outlineLevel="0" collapsed="false">
      <c r="E992" s="40"/>
    </row>
    <row r="993" customFormat="false" ht="15" hidden="false" customHeight="false" outlineLevel="0" collapsed="false">
      <c r="E993" s="40"/>
    </row>
    <row r="994" customFormat="false" ht="15" hidden="false" customHeight="false" outlineLevel="0" collapsed="false">
      <c r="E994" s="40"/>
    </row>
    <row r="995" customFormat="false" ht="15" hidden="false" customHeight="false" outlineLevel="0" collapsed="false">
      <c r="E995" s="40"/>
    </row>
    <row r="996" customFormat="false" ht="15" hidden="false" customHeight="false" outlineLevel="0" collapsed="false">
      <c r="E996" s="40"/>
    </row>
    <row r="997" customFormat="false" ht="15" hidden="false" customHeight="false" outlineLevel="0" collapsed="false">
      <c r="E997" s="40"/>
    </row>
    <row r="998" customFormat="false" ht="15" hidden="false" customHeight="false" outlineLevel="0" collapsed="false">
      <c r="E998" s="40"/>
    </row>
    <row r="999" customFormat="false" ht="15" hidden="false" customHeight="false" outlineLevel="0" collapsed="false">
      <c r="E999" s="40"/>
    </row>
    <row r="1000" customFormat="false" ht="15" hidden="false" customHeight="false" outlineLevel="0" collapsed="false">
      <c r="E1000" s="40"/>
    </row>
  </sheetData>
  <autoFilter ref="A1:E1000"/>
  <conditionalFormatting sqref="D2:D1000">
    <cfRule type="cellIs" priority="2" operator="equal" aboveAverage="0" equalAverage="0" bottom="0" percent="0" rank="0" text="" dxfId="11">
      <formula>0</formula>
    </cfRule>
    <cfRule type="cellIs" priority="3" operator="equal" aboveAverage="0" equalAverage="0" bottom="0" percent="0" rank="0" text="" dxfId="14">
      <formula>1</formula>
    </cfRule>
  </conditionalFormatting>
  <dataValidations count="3">
    <dataValidation allowBlank="true" error="id must be a whole number &gt;= 1." errorStyle="stop" errorTitle="Invalid id" operator="greaterThanOrEqual" showDropDown="false" showErrorMessage="true" showInputMessage="false" sqref="A2:A1000" type="whole">
      <formula1>1</formula1>
      <formula2>0</formula2>
    </dataValidation>
    <dataValidation allowBlank="true" error="Pick a value from the 0/1 flag list (see the Lists sheet)." errorStyle="stop" errorTitle="Not in list" operator="between" showDropDown="false" showErrorMessage="true" showInputMessage="false" sqref="D2:D1000" type="list">
      <formula1>Lists!$J$2:$J$3</formula1>
      <formula2>0</formula2>
    </dataValidation>
    <dataValidation allowBlank="true" error="WhatsApp ids look like 919876543210@c.us (or ...@lid). Empty is fine for camera items." errorStyle="warning" errorTitle="Check format" operator="between" showDropDown="false" showErrorMessage="true" showInputMessage="false" sqref="B2:B1000" type="custom">
      <formula1>OR(B2="",RIGHT(B2,5)="@c.us",RIGHT(B2,4)="@lid")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tru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24"/>
  </cols>
  <sheetData>
    <row r="1" customFormat="false" ht="30" hidden="false" customHeight="true" outlineLevel="0" collapsed="false">
      <c r="A1" s="6" t="s">
        <v>657</v>
      </c>
      <c r="B1" s="6" t="s">
        <v>658</v>
      </c>
      <c r="C1" s="6" t="s">
        <v>659</v>
      </c>
      <c r="D1" s="6" t="s">
        <v>660</v>
      </c>
      <c r="E1" s="6" t="s">
        <v>661</v>
      </c>
      <c r="F1" s="6" t="s">
        <v>662</v>
      </c>
      <c r="G1" s="6" t="s">
        <v>663</v>
      </c>
      <c r="H1" s="6" t="s">
        <v>664</v>
      </c>
      <c r="I1" s="6" t="s">
        <v>665</v>
      </c>
      <c r="J1" s="6" t="s">
        <v>666</v>
      </c>
      <c r="K1" s="6" t="s">
        <v>667</v>
      </c>
    </row>
    <row r="2" customFormat="false" ht="15" hidden="false" customHeight="false" outlineLevel="0" collapsed="false">
      <c r="A2" s="24" t="s">
        <v>339</v>
      </c>
      <c r="B2" s="24" t="s">
        <v>210</v>
      </c>
      <c r="C2" s="24" t="s">
        <v>500</v>
      </c>
      <c r="D2" s="24" t="s">
        <v>503</v>
      </c>
      <c r="E2" s="24" t="s">
        <v>46</v>
      </c>
      <c r="F2" s="24" t="s">
        <v>243</v>
      </c>
      <c r="G2" s="24" t="s">
        <v>46</v>
      </c>
      <c r="H2" s="24" t="s">
        <v>626</v>
      </c>
      <c r="I2" s="24" t="s">
        <v>643</v>
      </c>
      <c r="J2" s="24" t="n">
        <v>0</v>
      </c>
      <c r="K2" s="24" t="s">
        <v>287</v>
      </c>
    </row>
    <row r="3" customFormat="false" ht="15" hidden="false" customHeight="false" outlineLevel="0" collapsed="false">
      <c r="A3" s="24" t="s">
        <v>345</v>
      </c>
      <c r="B3" s="24" t="s">
        <v>546</v>
      </c>
      <c r="C3" s="24" t="s">
        <v>147</v>
      </c>
      <c r="D3" s="24" t="s">
        <v>183</v>
      </c>
      <c r="E3" s="24" t="s">
        <v>48</v>
      </c>
      <c r="F3" s="24" t="s">
        <v>609</v>
      </c>
      <c r="G3" s="24" t="s">
        <v>668</v>
      </c>
      <c r="H3" s="24" t="s">
        <v>277</v>
      </c>
      <c r="I3" s="24" t="s">
        <v>224</v>
      </c>
      <c r="J3" s="24" t="n">
        <v>1</v>
      </c>
      <c r="K3" s="24" t="s">
        <v>639</v>
      </c>
    </row>
    <row r="4" customFormat="false" ht="15" hidden="false" customHeight="false" outlineLevel="0" collapsed="false">
      <c r="A4" s="24" t="s">
        <v>350</v>
      </c>
      <c r="B4" s="24" t="s">
        <v>538</v>
      </c>
      <c r="E4" s="24" t="s">
        <v>50</v>
      </c>
      <c r="K4" s="24" t="s">
        <v>636</v>
      </c>
    </row>
    <row r="5" customFormat="false" ht="15" hidden="false" customHeight="false" outlineLevel="0" collapsed="false">
      <c r="A5" s="24" t="s">
        <v>355</v>
      </c>
      <c r="B5" s="24" t="s">
        <v>560</v>
      </c>
      <c r="E5" s="24" t="s">
        <v>52</v>
      </c>
    </row>
    <row r="6" customFormat="false" ht="15" hidden="false" customHeight="false" outlineLevel="0" collapsed="false">
      <c r="A6" s="24" t="s">
        <v>361</v>
      </c>
      <c r="B6" s="24" t="s">
        <v>567</v>
      </c>
    </row>
    <row r="7" customFormat="false" ht="15" hidden="false" customHeight="false" outlineLevel="0" collapsed="false">
      <c r="A7" s="24" t="s">
        <v>366</v>
      </c>
      <c r="B7" s="24" t="s">
        <v>553</v>
      </c>
    </row>
    <row r="8" customFormat="false" ht="15" hidden="false" customHeight="false" outlineLevel="0" collapsed="false">
      <c r="A8" s="24" t="s">
        <v>371</v>
      </c>
      <c r="B8" s="24" t="s">
        <v>574</v>
      </c>
    </row>
    <row r="9" customFormat="false" ht="15" hidden="false" customHeight="false" outlineLevel="0" collapsed="false">
      <c r="A9" s="24" t="s">
        <v>378</v>
      </c>
      <c r="B9" s="24" t="s">
        <v>586</v>
      </c>
    </row>
    <row r="10" customFormat="false" ht="15" hidden="false" customHeight="false" outlineLevel="0" collapsed="false">
      <c r="A10" s="24" t="s">
        <v>382</v>
      </c>
    </row>
    <row r="11" customFormat="false" ht="15" hidden="false" customHeight="false" outlineLevel="0" collapsed="false">
      <c r="A11" s="24" t="s">
        <v>267</v>
      </c>
    </row>
    <row r="12" customFormat="false" ht="15" hidden="false" customHeight="false" outlineLevel="0" collapsed="false">
      <c r="A12" s="24" t="s">
        <v>375</v>
      </c>
    </row>
    <row r="13" customFormat="false" ht="15" hidden="false" customHeight="false" outlineLevel="0" collapsed="false">
      <c r="A13" s="24" t="s">
        <v>390</v>
      </c>
    </row>
    <row r="14" customFormat="false" ht="15" hidden="false" customHeight="false" outlineLevel="0" collapsed="false">
      <c r="A14" s="24" t="s">
        <v>669</v>
      </c>
    </row>
    <row r="15" customFormat="false" ht="15" hidden="false" customHeight="false" outlineLevel="0" collapsed="false">
      <c r="A15" s="24" t="s">
        <v>586</v>
      </c>
    </row>
    <row r="18" customFormat="false" ht="15" hidden="false" customHeight="false" outlineLevel="0" collapsed="false">
      <c r="A18" s="21" t="s">
        <v>670</v>
      </c>
    </row>
    <row r="19" customFormat="false" ht="15" hidden="false" customHeight="false" outlineLevel="0" collapsed="false">
      <c r="A19" s="21" t="s">
        <v>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7" min="6" style="0" width="16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41" t="s">
        <v>672</v>
      </c>
    </row>
    <row r="2" customFormat="false" ht="15" hidden="false" customHeight="false" outlineLevel="0" collapsed="false">
      <c r="A2" s="21" t="s">
        <v>673</v>
      </c>
    </row>
    <row r="4" customFormat="false" ht="31.5" hidden="false" customHeight="true" outlineLevel="0" collapsed="false">
      <c r="A4" s="6" t="s">
        <v>132</v>
      </c>
      <c r="B4" s="6" t="s">
        <v>141</v>
      </c>
      <c r="C4" s="6" t="s">
        <v>149</v>
      </c>
      <c r="D4" s="6" t="s">
        <v>155</v>
      </c>
      <c r="E4" s="6" t="s">
        <v>185</v>
      </c>
      <c r="F4" s="6" t="s">
        <v>674</v>
      </c>
      <c r="G4" s="6" t="s">
        <v>675</v>
      </c>
      <c r="H4" s="6" t="s">
        <v>676</v>
      </c>
    </row>
    <row r="5" customFormat="false" ht="15" hidden="false" customHeight="false" outlineLevel="0" collapsed="false">
      <c r="A5" s="24" t="n">
        <f aca="false">IF(lost_found!A2="","",lost_found!A2)</f>
        <v>1</v>
      </c>
      <c r="B5" s="24" t="str">
        <f aca="false">IF(lost_found!B2="","",lost_found!B2)</f>
        <v>found</v>
      </c>
      <c r="C5" s="24" t="str">
        <f aca="false">IF(lost_found!C2="","",lost_found!C2)</f>
        <v>bottle</v>
      </c>
      <c r="D5" s="24" t="str">
        <f aca="false">IF(lost_found!D2="","",lost_found!D2)</f>
        <v>clear</v>
      </c>
      <c r="E5" s="24" t="str">
        <f aca="false">IF(lost_found!I2="","",lost_found!I2)</f>
        <v>open</v>
      </c>
      <c r="F5" s="24" t="str">
        <f aca="false">IF(OR(B5&lt;&gt;"lost",C5=""),"",COUNTIFS(lost_found!$B$2:$B$1000,"found",lost_found!$C$2:$C$1000,C5,lost_found!$I$2:$I$1000,"open"))</f>
        <v/>
      </c>
      <c r="G5" s="24" t="str">
        <f aca="false">IF(OR(B5&lt;&gt;"lost",C5=""),"",IF(D5="",F5,COUNTIFS(lost_found!$B$2:$B$1000,"found",lost_found!$C$2:$C$1000,C5,lost_found!$D$2:$D$1000,D5,lost_found!$I$2:$I$1000,"open")))</f>
        <v/>
      </c>
      <c r="H5" s="24" t="str">
        <f aca="false">IF(B5&lt;&gt;"lost","",IF(C5="","Needs item",IF(G5&gt;0,"Likely match",IF(F5&gt;0,"Possible (colour differs)","No match yet"))))</f>
        <v/>
      </c>
    </row>
    <row r="6" customFormat="false" ht="15" hidden="false" customHeight="false" outlineLevel="0" collapsed="false">
      <c r="A6" s="24" t="n">
        <f aca="false">IF(lost_found!A3="","",lost_found!A3)</f>
        <v>2</v>
      </c>
      <c r="B6" s="24" t="str">
        <f aca="false">IF(lost_found!B3="","",lost_found!B3)</f>
        <v>found</v>
      </c>
      <c r="C6" s="24" t="str">
        <f aca="false">IF(lost_found!C3="","",lost_found!C3)</f>
        <v>hoodie</v>
      </c>
      <c r="D6" s="24" t="str">
        <f aca="false">IF(lost_found!D3="","",lost_found!D3)</f>
        <v>pink</v>
      </c>
      <c r="E6" s="24" t="str">
        <f aca="false">IF(lost_found!I3="","",lost_found!I3)</f>
        <v>claim_pending</v>
      </c>
      <c r="F6" s="24" t="str">
        <f aca="false">IF(OR(B6&lt;&gt;"lost",C6=""),"",COUNTIFS(lost_found!$B$2:$B$1000,"found",lost_found!$C$2:$C$1000,C6,lost_found!$I$2:$I$1000,"open"))</f>
        <v/>
      </c>
      <c r="G6" s="24" t="str">
        <f aca="false">IF(OR(B6&lt;&gt;"lost",C6=""),"",IF(D6="",F6,COUNTIFS(lost_found!$B$2:$B$1000,"found",lost_found!$C$2:$C$1000,C6,lost_found!$D$2:$D$1000,D6,lost_found!$I$2:$I$1000,"open")))</f>
        <v/>
      </c>
      <c r="H6" s="24" t="str">
        <f aca="false">IF(B6&lt;&gt;"lost","",IF(C6="","Needs item",IF(G6&gt;0,"Likely match",IF(F6&gt;0,"Possible (colour differs)","No match yet"))))</f>
        <v/>
      </c>
    </row>
    <row r="7" customFormat="false" ht="15" hidden="false" customHeight="false" outlineLevel="0" collapsed="false">
      <c r="A7" s="24" t="n">
        <f aca="false">IF(lost_found!A4="","",lost_found!A4)</f>
        <v>3</v>
      </c>
      <c r="B7" s="24" t="str">
        <f aca="false">IF(lost_found!B4="","",lost_found!B4)</f>
        <v>found</v>
      </c>
      <c r="C7" s="24" t="str">
        <f aca="false">IF(lost_found!C4="","",lost_found!C4)</f>
        <v>backpack</v>
      </c>
      <c r="D7" s="24" t="str">
        <f aca="false">IF(lost_found!D4="","",lost_found!D4)</f>
        <v>purple</v>
      </c>
      <c r="E7" s="24" t="str">
        <f aca="false">IF(lost_found!I4="","",lost_found!I4)</f>
        <v>open</v>
      </c>
      <c r="F7" s="24" t="str">
        <f aca="false">IF(OR(B7&lt;&gt;"lost",C7=""),"",COUNTIFS(lost_found!$B$2:$B$1000,"found",lost_found!$C$2:$C$1000,C7,lost_found!$I$2:$I$1000,"open"))</f>
        <v/>
      </c>
      <c r="G7" s="24" t="str">
        <f aca="false">IF(OR(B7&lt;&gt;"lost",C7=""),"",IF(D7="",F7,COUNTIFS(lost_found!$B$2:$B$1000,"found",lost_found!$C$2:$C$1000,C7,lost_found!$D$2:$D$1000,D7,lost_found!$I$2:$I$1000,"open")))</f>
        <v/>
      </c>
      <c r="H7" s="24" t="str">
        <f aca="false">IF(B7&lt;&gt;"lost","",IF(C7="","Needs item",IF(G7&gt;0,"Likely match",IF(F7&gt;0,"Possible (colour differs)","No match yet"))))</f>
        <v/>
      </c>
    </row>
    <row r="8" customFormat="false" ht="15" hidden="false" customHeight="false" outlineLevel="0" collapsed="false">
      <c r="A8" s="24" t="n">
        <f aca="false">IF(lost_found!A5="","",lost_found!A5)</f>
        <v>4</v>
      </c>
      <c r="B8" s="24" t="str">
        <f aca="false">IF(lost_found!B5="","",lost_found!B5)</f>
        <v>found</v>
      </c>
      <c r="C8" s="24" t="str">
        <f aca="false">IF(lost_found!C5="","",lost_found!C5)</f>
        <v>gloves</v>
      </c>
      <c r="D8" s="24" t="str">
        <f aca="false">IF(lost_found!D5="","",lost_found!D5)</f>
        <v>black</v>
      </c>
      <c r="E8" s="24" t="str">
        <f aca="false">IF(lost_found!I5="","",lost_found!I5)</f>
        <v>open</v>
      </c>
      <c r="F8" s="24" t="str">
        <f aca="false">IF(OR(B8&lt;&gt;"lost",C8=""),"",COUNTIFS(lost_found!$B$2:$B$1000,"found",lost_found!$C$2:$C$1000,C8,lost_found!$I$2:$I$1000,"open"))</f>
        <v/>
      </c>
      <c r="G8" s="24" t="str">
        <f aca="false">IF(OR(B8&lt;&gt;"lost",C8=""),"",IF(D8="",F8,COUNTIFS(lost_found!$B$2:$B$1000,"found",lost_found!$C$2:$C$1000,C8,lost_found!$D$2:$D$1000,D8,lost_found!$I$2:$I$1000,"open")))</f>
        <v/>
      </c>
      <c r="H8" s="24" t="str">
        <f aca="false">IF(B8&lt;&gt;"lost","",IF(C8="","Needs item",IF(G8&gt;0,"Likely match",IF(F8&gt;0,"Possible (colour differs)","No match yet"))))</f>
        <v/>
      </c>
    </row>
    <row r="9" customFormat="false" ht="15" hidden="false" customHeight="false" outlineLevel="0" collapsed="false">
      <c r="A9" s="24" t="n">
        <f aca="false">IF(lost_found!A6="","",lost_found!A6)</f>
        <v>5</v>
      </c>
      <c r="B9" s="24" t="str">
        <f aca="false">IF(lost_found!B6="","",lost_found!B6)</f>
        <v>found</v>
      </c>
      <c r="C9" s="24" t="str">
        <f aca="false">IF(lost_found!C6="","",lost_found!C6)</f>
        <v>lunch bag</v>
      </c>
      <c r="D9" s="24" t="str">
        <f aca="false">IF(lost_found!D6="","",lost_found!D6)</f>
        <v>blue</v>
      </c>
      <c r="E9" s="24" t="str">
        <f aca="false">IF(lost_found!I6="","",lost_found!I6)</f>
        <v>open</v>
      </c>
      <c r="F9" s="24" t="str">
        <f aca="false">IF(OR(B9&lt;&gt;"lost",C9=""),"",COUNTIFS(lost_found!$B$2:$B$1000,"found",lost_found!$C$2:$C$1000,C9,lost_found!$I$2:$I$1000,"open"))</f>
        <v/>
      </c>
      <c r="G9" s="24" t="str">
        <f aca="false">IF(OR(B9&lt;&gt;"lost",C9=""),"",IF(D9="",F9,COUNTIFS(lost_found!$B$2:$B$1000,"found",lost_found!$C$2:$C$1000,C9,lost_found!$D$2:$D$1000,D9,lost_found!$I$2:$I$1000,"open")))</f>
        <v/>
      </c>
      <c r="H9" s="24" t="str">
        <f aca="false">IF(B9&lt;&gt;"lost","",IF(C9="","Needs item",IF(G9&gt;0,"Likely match",IF(F9&gt;0,"Possible (colour differs)","No match yet"))))</f>
        <v/>
      </c>
    </row>
    <row r="10" customFormat="false" ht="15" hidden="false" customHeight="false" outlineLevel="0" collapsed="false">
      <c r="A10" s="24" t="n">
        <f aca="false">IF(lost_found!A7="","",lost_found!A7)</f>
        <v>6</v>
      </c>
      <c r="B10" s="24" t="str">
        <f aca="false">IF(lost_found!B7="","",lost_found!B7)</f>
        <v>lost</v>
      </c>
      <c r="C10" s="24" t="str">
        <f aca="false">IF(lost_found!C7="","",lost_found!C7)</f>
        <v>earbuds</v>
      </c>
      <c r="D10" s="24" t="str">
        <f aca="false">IF(lost_found!D7="","",lost_found!D7)</f>
        <v>black</v>
      </c>
      <c r="E10" s="24" t="str">
        <f aca="false">IF(lost_found!I7="","",lost_found!I7)</f>
        <v>matched</v>
      </c>
      <c r="F10" s="24" t="n">
        <f aca="false">IF(OR(B10&lt;&gt;"lost",C10=""),"",COUNTIFS(lost_found!$B$2:$B$1000,"found",lost_found!$C$2:$C$1000,C10,lost_found!$I$2:$I$1000,"open"))</f>
        <v>1</v>
      </c>
      <c r="G10" s="24" t="n">
        <f aca="false">IF(OR(B10&lt;&gt;"lost",C10=""),"",IF(D10="",F10,COUNTIFS(lost_found!$B$2:$B$1000,"found",lost_found!$C$2:$C$1000,C10,lost_found!$D$2:$D$1000,D10,lost_found!$I$2:$I$1000,"open")))</f>
        <v>1</v>
      </c>
      <c r="H10" s="24" t="str">
        <f aca="false">IF(B10&lt;&gt;"lost","",IF(C10="","Needs item",IF(G10&gt;0,"Likely match",IF(F10&gt;0,"Possible (colour differs)","No match yet"))))</f>
        <v>Likely match</v>
      </c>
    </row>
    <row r="11" customFormat="false" ht="15" hidden="false" customHeight="false" outlineLevel="0" collapsed="false">
      <c r="A11" s="24" t="n">
        <f aca="false">IF(lost_found!A8="","",lost_found!A8)</f>
        <v>7</v>
      </c>
      <c r="B11" s="24" t="str">
        <f aca="false">IF(lost_found!B8="","",lost_found!B8)</f>
        <v>found</v>
      </c>
      <c r="C11" s="24" t="str">
        <f aca="false">IF(lost_found!C8="","",lost_found!C8)</f>
        <v>earbuds</v>
      </c>
      <c r="D11" s="24" t="str">
        <f aca="false">IF(lost_found!D8="","",lost_found!D8)</f>
        <v>black</v>
      </c>
      <c r="E11" s="24" t="str">
        <f aca="false">IF(lost_found!I8="","",lost_found!I8)</f>
        <v>open</v>
      </c>
      <c r="F11" s="24" t="str">
        <f aca="false">IF(OR(B11&lt;&gt;"lost",C11=""),"",COUNTIFS(lost_found!$B$2:$B$1000,"found",lost_found!$C$2:$C$1000,C11,lost_found!$I$2:$I$1000,"open"))</f>
        <v/>
      </c>
      <c r="G11" s="24" t="str">
        <f aca="false">IF(OR(B11&lt;&gt;"lost",C11=""),"",IF(D11="",F11,COUNTIFS(lost_found!$B$2:$B$1000,"found",lost_found!$C$2:$C$1000,C11,lost_found!$D$2:$D$1000,D11,lost_found!$I$2:$I$1000,"open")))</f>
        <v/>
      </c>
      <c r="H11" s="24" t="str">
        <f aca="false">IF(B11&lt;&gt;"lost","",IF(C11="","Needs item",IF(G11&gt;0,"Likely match",IF(F11&gt;0,"Possible (colour differs)","No match yet"))))</f>
        <v/>
      </c>
    </row>
    <row r="12" customFormat="false" ht="15" hidden="false" customHeight="false" outlineLevel="0" collapsed="false">
      <c r="A12" s="24" t="n">
        <f aca="false">IF(lost_found!A9="","",lost_found!A9)</f>
        <v>8</v>
      </c>
      <c r="B12" s="24" t="str">
        <f aca="false">IF(lost_found!B9="","",lost_found!B9)</f>
        <v>lost</v>
      </c>
      <c r="C12" s="24" t="str">
        <f aca="false">IF(lost_found!C9="","",lost_found!C9)</f>
        <v>bottle</v>
      </c>
      <c r="D12" s="24" t="str">
        <f aca="false">IF(lost_found!D9="","",lost_found!D9)</f>
        <v>blue</v>
      </c>
      <c r="E12" s="24" t="str">
        <f aca="false">IF(lost_found!I9="","",lost_found!I9)</f>
        <v>open</v>
      </c>
      <c r="F12" s="24" t="n">
        <f aca="false">IF(OR(B12&lt;&gt;"lost",C12=""),"",COUNTIFS(lost_found!$B$2:$B$1000,"found",lost_found!$C$2:$C$1000,C12,lost_found!$I$2:$I$1000,"open"))</f>
        <v>1</v>
      </c>
      <c r="G12" s="24" t="n">
        <f aca="false">IF(OR(B12&lt;&gt;"lost",C12=""),"",IF(D12="",F12,COUNTIFS(lost_found!$B$2:$B$1000,"found",lost_found!$C$2:$C$1000,C12,lost_found!$D$2:$D$1000,D12,lost_found!$I$2:$I$1000,"open")))</f>
        <v>0</v>
      </c>
      <c r="H12" s="24" t="str">
        <f aca="false">IF(B12&lt;&gt;"lost","",IF(C12="","Needs item",IF(G12&gt;0,"Likely match",IF(F12&gt;0,"Possible (colour differs)","No match yet"))))</f>
        <v>Possible (colour differs)</v>
      </c>
    </row>
    <row r="13" customFormat="false" ht="15" hidden="false" customHeight="false" outlineLevel="0" collapsed="false">
      <c r="A13" s="24" t="n">
        <f aca="false">IF(lost_found!A10="","",lost_found!A10)</f>
        <v>9</v>
      </c>
      <c r="B13" s="24" t="str">
        <f aca="false">IF(lost_found!B10="","",lost_found!B10)</f>
        <v>found</v>
      </c>
      <c r="C13" s="24" t="str">
        <f aca="false">IF(lost_found!C10="","",lost_found!C10)</f>
        <v>hoodie</v>
      </c>
      <c r="D13" s="24" t="str">
        <f aca="false">IF(lost_found!D10="","",lost_found!D10)</f>
        <v>grey</v>
      </c>
      <c r="E13" s="24" t="str">
        <f aca="false">IF(lost_found!I10="","",lost_found!I10)</f>
        <v>open</v>
      </c>
      <c r="F13" s="24" t="str">
        <f aca="false">IF(OR(B13&lt;&gt;"lost",C13=""),"",COUNTIFS(lost_found!$B$2:$B$1000,"found",lost_found!$C$2:$C$1000,C13,lost_found!$I$2:$I$1000,"open"))</f>
        <v/>
      </c>
      <c r="G13" s="24" t="str">
        <f aca="false">IF(OR(B13&lt;&gt;"lost",C13=""),"",IF(D13="",F13,COUNTIFS(lost_found!$B$2:$B$1000,"found",lost_found!$C$2:$C$1000,C13,lost_found!$D$2:$D$1000,D13,lost_found!$I$2:$I$1000,"open")))</f>
        <v/>
      </c>
      <c r="H13" s="24" t="str">
        <f aca="false">IF(B13&lt;&gt;"lost","",IF(C13="","Needs item",IF(G13&gt;0,"Likely match",IF(F13&gt;0,"Possible (colour differs)","No match yet"))))</f>
        <v/>
      </c>
    </row>
    <row r="14" customFormat="false" ht="15" hidden="false" customHeight="false" outlineLevel="0" collapsed="false">
      <c r="A14" s="24" t="n">
        <f aca="false">IF(lost_found!A11="","",lost_found!A11)</f>
        <v>10</v>
      </c>
      <c r="B14" s="24" t="str">
        <f aca="false">IF(lost_found!B11="","",lost_found!B11)</f>
        <v>found</v>
      </c>
      <c r="C14" s="24" t="str">
        <f aca="false">IF(lost_found!C11="","",lost_found!C11)</f>
        <v>id card</v>
      </c>
      <c r="D14" s="24" t="str">
        <f aca="false">IF(lost_found!D11="","",lost_found!D11)</f>
        <v/>
      </c>
      <c r="E14" s="24" t="str">
        <f aca="false">IF(lost_found!I11="","",lost_found!I11)</f>
        <v>open</v>
      </c>
      <c r="F14" s="24" t="str">
        <f aca="false">IF(OR(B14&lt;&gt;"lost",C14=""),"",COUNTIFS(lost_found!$B$2:$B$1000,"found",lost_found!$C$2:$C$1000,C14,lost_found!$I$2:$I$1000,"open"))</f>
        <v/>
      </c>
      <c r="G14" s="24" t="str">
        <f aca="false">IF(OR(B14&lt;&gt;"lost",C14=""),"",IF(D14="",F14,COUNTIFS(lost_found!$B$2:$B$1000,"found",lost_found!$C$2:$C$1000,C14,lost_found!$D$2:$D$1000,D14,lost_found!$I$2:$I$1000,"open")))</f>
        <v/>
      </c>
      <c r="H14" s="24" t="str">
        <f aca="false">IF(B14&lt;&gt;"lost","",IF(C14="","Needs item",IF(G14&gt;0,"Likely match",IF(F14&gt;0,"Possible (colour differs)","No match yet"))))</f>
        <v/>
      </c>
    </row>
    <row r="15" customFormat="false" ht="15" hidden="false" customHeight="false" outlineLevel="0" collapsed="false">
      <c r="A15" s="24" t="n">
        <f aca="false">IF(lost_found!A12="","",lost_found!A12)</f>
        <v>11</v>
      </c>
      <c r="B15" s="24" t="str">
        <f aca="false">IF(lost_found!B12="","",lost_found!B12)</f>
        <v>lost</v>
      </c>
      <c r="C15" s="24" t="str">
        <f aca="false">IF(lost_found!C12="","",lost_found!C12)</f>
        <v>hoodie</v>
      </c>
      <c r="D15" s="24" t="str">
        <f aca="false">IF(lost_found!D12="","",lost_found!D12)</f>
        <v>pink</v>
      </c>
      <c r="E15" s="24" t="str">
        <f aca="false">IF(lost_found!I12="","",lost_found!I12)</f>
        <v>open</v>
      </c>
      <c r="F15" s="24" t="n">
        <f aca="false">IF(OR(B15&lt;&gt;"lost",C15=""),"",COUNTIFS(lost_found!$B$2:$B$1000,"found",lost_found!$C$2:$C$1000,C15,lost_found!$I$2:$I$1000,"open"))</f>
        <v>1</v>
      </c>
      <c r="G15" s="24" t="n">
        <f aca="false">IF(OR(B15&lt;&gt;"lost",C15=""),"",IF(D15="",F15,COUNTIFS(lost_found!$B$2:$B$1000,"found",lost_found!$C$2:$C$1000,C15,lost_found!$D$2:$D$1000,D15,lost_found!$I$2:$I$1000,"open")))</f>
        <v>0</v>
      </c>
      <c r="H15" s="24" t="str">
        <f aca="false">IF(B15&lt;&gt;"lost","",IF(C15="","Needs item",IF(G15&gt;0,"Likely match",IF(F15&gt;0,"Possible (colour differs)","No match yet"))))</f>
        <v>Possible (colour differs)</v>
      </c>
    </row>
    <row r="16" customFormat="false" ht="15" hidden="false" customHeight="false" outlineLevel="0" collapsed="false">
      <c r="A16" s="24" t="n">
        <f aca="false">IF(lost_found!A13="","",lost_found!A13)</f>
        <v>12</v>
      </c>
      <c r="B16" s="24" t="str">
        <f aca="false">IF(lost_found!B13="","",lost_found!B13)</f>
        <v>found</v>
      </c>
      <c r="C16" s="24" t="str">
        <f aca="false">IF(lost_found!C13="","",lost_found!C13)</f>
        <v>umbrella</v>
      </c>
      <c r="D16" s="24" t="str">
        <f aca="false">IF(lost_found!D13="","",lost_found!D13)</f>
        <v>black</v>
      </c>
      <c r="E16" s="24" t="str">
        <f aca="false">IF(lost_found!I13="","",lost_found!I13)</f>
        <v>claimed</v>
      </c>
      <c r="F16" s="24" t="str">
        <f aca="false">IF(OR(B16&lt;&gt;"lost",C16=""),"",COUNTIFS(lost_found!$B$2:$B$1000,"found",lost_found!$C$2:$C$1000,C16,lost_found!$I$2:$I$1000,"open"))</f>
        <v/>
      </c>
      <c r="G16" s="24" t="str">
        <f aca="false">IF(OR(B16&lt;&gt;"lost",C16=""),"",IF(D16="",F16,COUNTIFS(lost_found!$B$2:$B$1000,"found",lost_found!$C$2:$C$1000,C16,lost_found!$D$2:$D$1000,D16,lost_found!$I$2:$I$1000,"open")))</f>
        <v/>
      </c>
      <c r="H16" s="24" t="str">
        <f aca="false">IF(B16&lt;&gt;"lost","",IF(C16="","Needs item",IF(G16&gt;0,"Likely match",IF(F16&gt;0,"Possible (colour differs)","No match yet"))))</f>
        <v/>
      </c>
    </row>
    <row r="17" customFormat="false" ht="15" hidden="false" customHeight="false" outlineLevel="0" collapsed="false">
      <c r="A17" s="24" t="n">
        <f aca="false">IF(lost_found!A14="","",lost_found!A14)</f>
        <v>13</v>
      </c>
      <c r="B17" s="24" t="str">
        <f aca="false">IF(lost_found!B14="","",lost_found!B14)</f>
        <v>lost</v>
      </c>
      <c r="C17" s="24" t="str">
        <f aca="false">IF(lost_found!C14="","",lost_found!C14)</f>
        <v>keys</v>
      </c>
      <c r="D17" s="24" t="str">
        <f aca="false">IF(lost_found!D14="","",lost_found!D14)</f>
        <v/>
      </c>
      <c r="E17" s="24" t="str">
        <f aca="false">IF(lost_found!I14="","",lost_found!I14)</f>
        <v>open</v>
      </c>
      <c r="F17" s="24" t="n">
        <f aca="false">IF(OR(B17&lt;&gt;"lost",C17=""),"",COUNTIFS(lost_found!$B$2:$B$1000,"found",lost_found!$C$2:$C$1000,C17,lost_found!$I$2:$I$1000,"open"))</f>
        <v>0</v>
      </c>
      <c r="G17" s="24" t="n">
        <f aca="false">IF(OR(B17&lt;&gt;"lost",C17=""),"",IF(D17="",F17,COUNTIFS(lost_found!$B$2:$B$1000,"found",lost_found!$C$2:$C$1000,C17,lost_found!$D$2:$D$1000,D17,lost_found!$I$2:$I$1000,"open")))</f>
        <v>0</v>
      </c>
      <c r="H17" s="24" t="str">
        <f aca="false">IF(B17&lt;&gt;"lost","",IF(C17="","Needs item",IF(G17&gt;0,"Likely match",IF(F17&gt;0,"Possible (colour differs)","No match yet"))))</f>
        <v>No match yet</v>
      </c>
    </row>
    <row r="18" customFormat="false" ht="15" hidden="false" customHeight="false" outlineLevel="0" collapsed="false">
      <c r="A18" s="24" t="n">
        <f aca="false">IF(lost_found!A15="","",lost_found!A15)</f>
        <v>14</v>
      </c>
      <c r="B18" s="24" t="str">
        <f aca="false">IF(lost_found!B15="","",lost_found!B15)</f>
        <v>lost</v>
      </c>
      <c r="C18" s="24" t="str">
        <f aca="false">IF(lost_found!C15="","",lost_found!C15)</f>
        <v>calculator</v>
      </c>
      <c r="D18" s="24" t="str">
        <f aca="false">IF(lost_found!D15="","",lost_found!D15)</f>
        <v>grey</v>
      </c>
      <c r="E18" s="24" t="str">
        <f aca="false">IF(lost_found!I15="","",lost_found!I15)</f>
        <v>open</v>
      </c>
      <c r="F18" s="24" t="n">
        <f aca="false">IF(OR(B18&lt;&gt;"lost",C18=""),"",COUNTIFS(lost_found!$B$2:$B$1000,"found",lost_found!$C$2:$C$1000,C18,lost_found!$I$2:$I$1000,"open"))</f>
        <v>0</v>
      </c>
      <c r="G18" s="24" t="n">
        <f aca="false">IF(OR(B18&lt;&gt;"lost",C18=""),"",IF(D18="",F18,COUNTIFS(lost_found!$B$2:$B$1000,"found",lost_found!$C$2:$C$1000,C18,lost_found!$D$2:$D$1000,D18,lost_found!$I$2:$I$1000,"open")))</f>
        <v>0</v>
      </c>
      <c r="H18" s="24" t="str">
        <f aca="false">IF(B18&lt;&gt;"lost","",IF(C18="","Needs item",IF(G18&gt;0,"Likely match",IF(F18&gt;0,"Possible (colour differs)","No match yet"))))</f>
        <v>No match yet</v>
      </c>
    </row>
    <row r="19" customFormat="false" ht="15" hidden="false" customHeight="false" outlineLevel="0" collapsed="false">
      <c r="A19" s="24" t="str">
        <f aca="false">IF(lost_found!A16="","",lost_found!A16)</f>
        <v/>
      </c>
      <c r="B19" s="24" t="str">
        <f aca="false">IF(lost_found!B16="","",lost_found!B16)</f>
        <v/>
      </c>
      <c r="C19" s="24" t="str">
        <f aca="false">IF(lost_found!C16="","",lost_found!C16)</f>
        <v/>
      </c>
      <c r="D19" s="24" t="str">
        <f aca="false">IF(lost_found!D16="","",lost_found!D16)</f>
        <v/>
      </c>
      <c r="E19" s="24" t="str">
        <f aca="false">IF(lost_found!I16="","",lost_found!I16)</f>
        <v/>
      </c>
      <c r="F19" s="24" t="str">
        <f aca="false">IF(OR(B19&lt;&gt;"lost",C19=""),"",COUNTIFS(lost_found!$B$2:$B$1000,"found",lost_found!$C$2:$C$1000,C19,lost_found!$I$2:$I$1000,"open"))</f>
        <v/>
      </c>
      <c r="G19" s="24" t="str">
        <f aca="false">IF(OR(B19&lt;&gt;"lost",C19=""),"",IF(D19="",F19,COUNTIFS(lost_found!$B$2:$B$1000,"found",lost_found!$C$2:$C$1000,C19,lost_found!$D$2:$D$1000,D19,lost_found!$I$2:$I$1000,"open")))</f>
        <v/>
      </c>
      <c r="H19" s="24" t="str">
        <f aca="false">IF(B19&lt;&gt;"lost","",IF(C19="","Needs item",IF(G19&gt;0,"Likely match",IF(F19&gt;0,"Possible (colour differs)","No match yet"))))</f>
        <v/>
      </c>
    </row>
    <row r="20" customFormat="false" ht="15" hidden="false" customHeight="false" outlineLevel="0" collapsed="false">
      <c r="A20" s="24" t="str">
        <f aca="false">IF(lost_found!A17="","",lost_found!A17)</f>
        <v/>
      </c>
      <c r="B20" s="24" t="str">
        <f aca="false">IF(lost_found!B17="","",lost_found!B17)</f>
        <v/>
      </c>
      <c r="C20" s="24" t="str">
        <f aca="false">IF(lost_found!C17="","",lost_found!C17)</f>
        <v/>
      </c>
      <c r="D20" s="24" t="str">
        <f aca="false">IF(lost_found!D17="","",lost_found!D17)</f>
        <v/>
      </c>
      <c r="E20" s="24" t="str">
        <f aca="false">IF(lost_found!I17="","",lost_found!I17)</f>
        <v/>
      </c>
      <c r="F20" s="24" t="str">
        <f aca="false">IF(OR(B20&lt;&gt;"lost",C20=""),"",COUNTIFS(lost_found!$B$2:$B$1000,"found",lost_found!$C$2:$C$1000,C20,lost_found!$I$2:$I$1000,"open"))</f>
        <v/>
      </c>
      <c r="G20" s="24" t="str">
        <f aca="false">IF(OR(B20&lt;&gt;"lost",C20=""),"",IF(D20="",F20,COUNTIFS(lost_found!$B$2:$B$1000,"found",lost_found!$C$2:$C$1000,C20,lost_found!$D$2:$D$1000,D20,lost_found!$I$2:$I$1000,"open")))</f>
        <v/>
      </c>
      <c r="H20" s="24" t="str">
        <f aca="false">IF(B20&lt;&gt;"lost","",IF(C20="","Needs item",IF(G20&gt;0,"Likely match",IF(F20&gt;0,"Possible (colour differs)","No match yet"))))</f>
        <v/>
      </c>
    </row>
    <row r="21" customFormat="false" ht="15" hidden="false" customHeight="false" outlineLevel="0" collapsed="false">
      <c r="A21" s="24" t="str">
        <f aca="false">IF(lost_found!A18="","",lost_found!A18)</f>
        <v/>
      </c>
      <c r="B21" s="24" t="str">
        <f aca="false">IF(lost_found!B18="","",lost_found!B18)</f>
        <v/>
      </c>
      <c r="C21" s="24" t="str">
        <f aca="false">IF(lost_found!C18="","",lost_found!C18)</f>
        <v/>
      </c>
      <c r="D21" s="24" t="str">
        <f aca="false">IF(lost_found!D18="","",lost_found!D18)</f>
        <v/>
      </c>
      <c r="E21" s="24" t="str">
        <f aca="false">IF(lost_found!I18="","",lost_found!I18)</f>
        <v/>
      </c>
      <c r="F21" s="24" t="str">
        <f aca="false">IF(OR(B21&lt;&gt;"lost",C21=""),"",COUNTIFS(lost_found!$B$2:$B$1000,"found",lost_found!$C$2:$C$1000,C21,lost_found!$I$2:$I$1000,"open"))</f>
        <v/>
      </c>
      <c r="G21" s="24" t="str">
        <f aca="false">IF(OR(B21&lt;&gt;"lost",C21=""),"",IF(D21="",F21,COUNTIFS(lost_found!$B$2:$B$1000,"found",lost_found!$C$2:$C$1000,C21,lost_found!$D$2:$D$1000,D21,lost_found!$I$2:$I$1000,"open")))</f>
        <v/>
      </c>
      <c r="H21" s="24" t="str">
        <f aca="false">IF(B21&lt;&gt;"lost","",IF(C21="","Needs item",IF(G21&gt;0,"Likely match",IF(F21&gt;0,"Possible (colour differs)","No match yet"))))</f>
        <v/>
      </c>
    </row>
    <row r="22" customFormat="false" ht="15" hidden="false" customHeight="false" outlineLevel="0" collapsed="false">
      <c r="A22" s="24" t="str">
        <f aca="false">IF(lost_found!A19="","",lost_found!A19)</f>
        <v/>
      </c>
      <c r="B22" s="24" t="str">
        <f aca="false">IF(lost_found!B19="","",lost_found!B19)</f>
        <v/>
      </c>
      <c r="C22" s="24" t="str">
        <f aca="false">IF(lost_found!C19="","",lost_found!C19)</f>
        <v/>
      </c>
      <c r="D22" s="24" t="str">
        <f aca="false">IF(lost_found!D19="","",lost_found!D19)</f>
        <v/>
      </c>
      <c r="E22" s="24" t="str">
        <f aca="false">IF(lost_found!I19="","",lost_found!I19)</f>
        <v/>
      </c>
      <c r="F22" s="24" t="str">
        <f aca="false">IF(OR(B22&lt;&gt;"lost",C22=""),"",COUNTIFS(lost_found!$B$2:$B$1000,"found",lost_found!$C$2:$C$1000,C22,lost_found!$I$2:$I$1000,"open"))</f>
        <v/>
      </c>
      <c r="G22" s="24" t="str">
        <f aca="false">IF(OR(B22&lt;&gt;"lost",C22=""),"",IF(D22="",F22,COUNTIFS(lost_found!$B$2:$B$1000,"found",lost_found!$C$2:$C$1000,C22,lost_found!$D$2:$D$1000,D22,lost_found!$I$2:$I$1000,"open")))</f>
        <v/>
      </c>
      <c r="H22" s="24" t="str">
        <f aca="false">IF(B22&lt;&gt;"lost","",IF(C22="","Needs item",IF(G22&gt;0,"Likely match",IF(F22&gt;0,"Possible (colour differs)","No match yet"))))</f>
        <v/>
      </c>
    </row>
    <row r="23" customFormat="false" ht="15" hidden="false" customHeight="false" outlineLevel="0" collapsed="false">
      <c r="A23" s="24" t="str">
        <f aca="false">IF(lost_found!A20="","",lost_found!A20)</f>
        <v/>
      </c>
      <c r="B23" s="24" t="str">
        <f aca="false">IF(lost_found!B20="","",lost_found!B20)</f>
        <v/>
      </c>
      <c r="C23" s="24" t="str">
        <f aca="false">IF(lost_found!C20="","",lost_found!C20)</f>
        <v/>
      </c>
      <c r="D23" s="24" t="str">
        <f aca="false">IF(lost_found!D20="","",lost_found!D20)</f>
        <v/>
      </c>
      <c r="E23" s="24" t="str">
        <f aca="false">IF(lost_found!I20="","",lost_found!I20)</f>
        <v/>
      </c>
      <c r="F23" s="24" t="str">
        <f aca="false">IF(OR(B23&lt;&gt;"lost",C23=""),"",COUNTIFS(lost_found!$B$2:$B$1000,"found",lost_found!$C$2:$C$1000,C23,lost_found!$I$2:$I$1000,"open"))</f>
        <v/>
      </c>
      <c r="G23" s="24" t="str">
        <f aca="false">IF(OR(B23&lt;&gt;"lost",C23=""),"",IF(D23="",F23,COUNTIFS(lost_found!$B$2:$B$1000,"found",lost_found!$C$2:$C$1000,C23,lost_found!$D$2:$D$1000,D23,lost_found!$I$2:$I$1000,"open")))</f>
        <v/>
      </c>
      <c r="H23" s="24" t="str">
        <f aca="false">IF(B23&lt;&gt;"lost","",IF(C23="","Needs item",IF(G23&gt;0,"Likely match",IF(F23&gt;0,"Possible (colour differs)","No match yet"))))</f>
        <v/>
      </c>
    </row>
    <row r="24" customFormat="false" ht="15" hidden="false" customHeight="false" outlineLevel="0" collapsed="false">
      <c r="A24" s="24" t="str">
        <f aca="false">IF(lost_found!A21="","",lost_found!A21)</f>
        <v/>
      </c>
      <c r="B24" s="24" t="str">
        <f aca="false">IF(lost_found!B21="","",lost_found!B21)</f>
        <v/>
      </c>
      <c r="C24" s="24" t="str">
        <f aca="false">IF(lost_found!C21="","",lost_found!C21)</f>
        <v/>
      </c>
      <c r="D24" s="24" t="str">
        <f aca="false">IF(lost_found!D21="","",lost_found!D21)</f>
        <v/>
      </c>
      <c r="E24" s="24" t="str">
        <f aca="false">IF(lost_found!I21="","",lost_found!I21)</f>
        <v/>
      </c>
      <c r="F24" s="24" t="str">
        <f aca="false">IF(OR(B24&lt;&gt;"lost",C24=""),"",COUNTIFS(lost_found!$B$2:$B$1000,"found",lost_found!$C$2:$C$1000,C24,lost_found!$I$2:$I$1000,"open"))</f>
        <v/>
      </c>
      <c r="G24" s="24" t="str">
        <f aca="false">IF(OR(B24&lt;&gt;"lost",C24=""),"",IF(D24="",F24,COUNTIFS(lost_found!$B$2:$B$1000,"found",lost_found!$C$2:$C$1000,C24,lost_found!$D$2:$D$1000,D24,lost_found!$I$2:$I$1000,"open")))</f>
        <v/>
      </c>
      <c r="H24" s="24" t="str">
        <f aca="false">IF(B24&lt;&gt;"lost","",IF(C24="","Needs item",IF(G24&gt;0,"Likely match",IF(F24&gt;0,"Possible (colour differs)","No match yet"))))</f>
        <v/>
      </c>
    </row>
    <row r="25" customFormat="false" ht="15" hidden="false" customHeight="false" outlineLevel="0" collapsed="false">
      <c r="A25" s="24" t="str">
        <f aca="false">IF(lost_found!A22="","",lost_found!A22)</f>
        <v/>
      </c>
      <c r="B25" s="24" t="str">
        <f aca="false">IF(lost_found!B22="","",lost_found!B22)</f>
        <v/>
      </c>
      <c r="C25" s="24" t="str">
        <f aca="false">IF(lost_found!C22="","",lost_found!C22)</f>
        <v/>
      </c>
      <c r="D25" s="24" t="str">
        <f aca="false">IF(lost_found!D22="","",lost_found!D22)</f>
        <v/>
      </c>
      <c r="E25" s="24" t="str">
        <f aca="false">IF(lost_found!I22="","",lost_found!I22)</f>
        <v/>
      </c>
      <c r="F25" s="24" t="str">
        <f aca="false">IF(OR(B25&lt;&gt;"lost",C25=""),"",COUNTIFS(lost_found!$B$2:$B$1000,"found",lost_found!$C$2:$C$1000,C25,lost_found!$I$2:$I$1000,"open"))</f>
        <v/>
      </c>
      <c r="G25" s="24" t="str">
        <f aca="false">IF(OR(B25&lt;&gt;"lost",C25=""),"",IF(D25="",F25,COUNTIFS(lost_found!$B$2:$B$1000,"found",lost_found!$C$2:$C$1000,C25,lost_found!$D$2:$D$1000,D25,lost_found!$I$2:$I$1000,"open")))</f>
        <v/>
      </c>
      <c r="H25" s="24" t="str">
        <f aca="false">IF(B25&lt;&gt;"lost","",IF(C25="","Needs item",IF(G25&gt;0,"Likely match",IF(F25&gt;0,"Possible (colour differs)","No match yet"))))</f>
        <v/>
      </c>
    </row>
    <row r="26" customFormat="false" ht="15" hidden="false" customHeight="false" outlineLevel="0" collapsed="false">
      <c r="A26" s="24" t="str">
        <f aca="false">IF(lost_found!A23="","",lost_found!A23)</f>
        <v/>
      </c>
      <c r="B26" s="24" t="str">
        <f aca="false">IF(lost_found!B23="","",lost_found!B23)</f>
        <v/>
      </c>
      <c r="C26" s="24" t="str">
        <f aca="false">IF(lost_found!C23="","",lost_found!C23)</f>
        <v/>
      </c>
      <c r="D26" s="24" t="str">
        <f aca="false">IF(lost_found!D23="","",lost_found!D23)</f>
        <v/>
      </c>
      <c r="E26" s="24" t="str">
        <f aca="false">IF(lost_found!I23="","",lost_found!I23)</f>
        <v/>
      </c>
      <c r="F26" s="24" t="str">
        <f aca="false">IF(OR(B26&lt;&gt;"lost",C26=""),"",COUNTIFS(lost_found!$B$2:$B$1000,"found",lost_found!$C$2:$C$1000,C26,lost_found!$I$2:$I$1000,"open"))</f>
        <v/>
      </c>
      <c r="G26" s="24" t="str">
        <f aca="false">IF(OR(B26&lt;&gt;"lost",C26=""),"",IF(D26="",F26,COUNTIFS(lost_found!$B$2:$B$1000,"found",lost_found!$C$2:$C$1000,C26,lost_found!$D$2:$D$1000,D26,lost_found!$I$2:$I$1000,"open")))</f>
        <v/>
      </c>
      <c r="H26" s="24" t="str">
        <f aca="false">IF(B26&lt;&gt;"lost","",IF(C26="","Needs item",IF(G26&gt;0,"Likely match",IF(F26&gt;0,"Possible (colour differs)","No match yet"))))</f>
        <v/>
      </c>
    </row>
    <row r="27" customFormat="false" ht="15" hidden="false" customHeight="false" outlineLevel="0" collapsed="false">
      <c r="A27" s="24" t="str">
        <f aca="false">IF(lost_found!A24="","",lost_found!A24)</f>
        <v/>
      </c>
      <c r="B27" s="24" t="str">
        <f aca="false">IF(lost_found!B24="","",lost_found!B24)</f>
        <v/>
      </c>
      <c r="C27" s="24" t="str">
        <f aca="false">IF(lost_found!C24="","",lost_found!C24)</f>
        <v/>
      </c>
      <c r="D27" s="24" t="str">
        <f aca="false">IF(lost_found!D24="","",lost_found!D24)</f>
        <v/>
      </c>
      <c r="E27" s="24" t="str">
        <f aca="false">IF(lost_found!I24="","",lost_found!I24)</f>
        <v/>
      </c>
      <c r="F27" s="24" t="str">
        <f aca="false">IF(OR(B27&lt;&gt;"lost",C27=""),"",COUNTIFS(lost_found!$B$2:$B$1000,"found",lost_found!$C$2:$C$1000,C27,lost_found!$I$2:$I$1000,"open"))</f>
        <v/>
      </c>
      <c r="G27" s="24" t="str">
        <f aca="false">IF(OR(B27&lt;&gt;"lost",C27=""),"",IF(D27="",F27,COUNTIFS(lost_found!$B$2:$B$1000,"found",lost_found!$C$2:$C$1000,C27,lost_found!$D$2:$D$1000,D27,lost_found!$I$2:$I$1000,"open")))</f>
        <v/>
      </c>
      <c r="H27" s="24" t="str">
        <f aca="false">IF(B27&lt;&gt;"lost","",IF(C27="","Needs item",IF(G27&gt;0,"Likely match",IF(F27&gt;0,"Possible (colour differs)","No match yet"))))</f>
        <v/>
      </c>
    </row>
    <row r="28" customFormat="false" ht="15" hidden="false" customHeight="false" outlineLevel="0" collapsed="false">
      <c r="A28" s="24" t="str">
        <f aca="false">IF(lost_found!A25="","",lost_found!A25)</f>
        <v/>
      </c>
      <c r="B28" s="24" t="str">
        <f aca="false">IF(lost_found!B25="","",lost_found!B25)</f>
        <v/>
      </c>
      <c r="C28" s="24" t="str">
        <f aca="false">IF(lost_found!C25="","",lost_found!C25)</f>
        <v/>
      </c>
      <c r="D28" s="24" t="str">
        <f aca="false">IF(lost_found!D25="","",lost_found!D25)</f>
        <v/>
      </c>
      <c r="E28" s="24" t="str">
        <f aca="false">IF(lost_found!I25="","",lost_found!I25)</f>
        <v/>
      </c>
      <c r="F28" s="24" t="str">
        <f aca="false">IF(OR(B28&lt;&gt;"lost",C28=""),"",COUNTIFS(lost_found!$B$2:$B$1000,"found",lost_found!$C$2:$C$1000,C28,lost_found!$I$2:$I$1000,"open"))</f>
        <v/>
      </c>
      <c r="G28" s="24" t="str">
        <f aca="false">IF(OR(B28&lt;&gt;"lost",C28=""),"",IF(D28="",F28,COUNTIFS(lost_found!$B$2:$B$1000,"found",lost_found!$C$2:$C$1000,C28,lost_found!$D$2:$D$1000,D28,lost_found!$I$2:$I$1000,"open")))</f>
        <v/>
      </c>
      <c r="H28" s="24" t="str">
        <f aca="false">IF(B28&lt;&gt;"lost","",IF(C28="","Needs item",IF(G28&gt;0,"Likely match",IF(F28&gt;0,"Possible (colour differs)","No match yet"))))</f>
        <v/>
      </c>
    </row>
    <row r="29" customFormat="false" ht="15" hidden="false" customHeight="false" outlineLevel="0" collapsed="false">
      <c r="A29" s="24" t="str">
        <f aca="false">IF(lost_found!A26="","",lost_found!A26)</f>
        <v/>
      </c>
      <c r="B29" s="24" t="str">
        <f aca="false">IF(lost_found!B26="","",lost_found!B26)</f>
        <v/>
      </c>
      <c r="C29" s="24" t="str">
        <f aca="false">IF(lost_found!C26="","",lost_found!C26)</f>
        <v/>
      </c>
      <c r="D29" s="24" t="str">
        <f aca="false">IF(lost_found!D26="","",lost_found!D26)</f>
        <v/>
      </c>
      <c r="E29" s="24" t="str">
        <f aca="false">IF(lost_found!I26="","",lost_found!I26)</f>
        <v/>
      </c>
      <c r="F29" s="24" t="str">
        <f aca="false">IF(OR(B29&lt;&gt;"lost",C29=""),"",COUNTIFS(lost_found!$B$2:$B$1000,"found",lost_found!$C$2:$C$1000,C29,lost_found!$I$2:$I$1000,"open"))</f>
        <v/>
      </c>
      <c r="G29" s="24" t="str">
        <f aca="false">IF(OR(B29&lt;&gt;"lost",C29=""),"",IF(D29="",F29,COUNTIFS(lost_found!$B$2:$B$1000,"found",lost_found!$C$2:$C$1000,C29,lost_found!$D$2:$D$1000,D29,lost_found!$I$2:$I$1000,"open")))</f>
        <v/>
      </c>
      <c r="H29" s="24" t="str">
        <f aca="false">IF(B29&lt;&gt;"lost","",IF(C29="","Needs item",IF(G29&gt;0,"Likely match",IF(F29&gt;0,"Possible (colour differs)","No match yet"))))</f>
        <v/>
      </c>
    </row>
    <row r="30" customFormat="false" ht="15" hidden="false" customHeight="false" outlineLevel="0" collapsed="false">
      <c r="A30" s="24" t="str">
        <f aca="false">IF(lost_found!A27="","",lost_found!A27)</f>
        <v/>
      </c>
      <c r="B30" s="24" t="str">
        <f aca="false">IF(lost_found!B27="","",lost_found!B27)</f>
        <v/>
      </c>
      <c r="C30" s="24" t="str">
        <f aca="false">IF(lost_found!C27="","",lost_found!C27)</f>
        <v/>
      </c>
      <c r="D30" s="24" t="str">
        <f aca="false">IF(lost_found!D27="","",lost_found!D27)</f>
        <v/>
      </c>
      <c r="E30" s="24" t="str">
        <f aca="false">IF(lost_found!I27="","",lost_found!I27)</f>
        <v/>
      </c>
      <c r="F30" s="24" t="str">
        <f aca="false">IF(OR(B30&lt;&gt;"lost",C30=""),"",COUNTIFS(lost_found!$B$2:$B$1000,"found",lost_found!$C$2:$C$1000,C30,lost_found!$I$2:$I$1000,"open"))</f>
        <v/>
      </c>
      <c r="G30" s="24" t="str">
        <f aca="false">IF(OR(B30&lt;&gt;"lost",C30=""),"",IF(D30="",F30,COUNTIFS(lost_found!$B$2:$B$1000,"found",lost_found!$C$2:$C$1000,C30,lost_found!$D$2:$D$1000,D30,lost_found!$I$2:$I$1000,"open")))</f>
        <v/>
      </c>
      <c r="H30" s="24" t="str">
        <f aca="false">IF(B30&lt;&gt;"lost","",IF(C30="","Needs item",IF(G30&gt;0,"Likely match",IF(F30&gt;0,"Possible (colour differs)","No match yet"))))</f>
        <v/>
      </c>
    </row>
    <row r="31" customFormat="false" ht="15" hidden="false" customHeight="false" outlineLevel="0" collapsed="false">
      <c r="A31" s="24" t="str">
        <f aca="false">IF(lost_found!A28="","",lost_found!A28)</f>
        <v/>
      </c>
      <c r="B31" s="24" t="str">
        <f aca="false">IF(lost_found!B28="","",lost_found!B28)</f>
        <v/>
      </c>
      <c r="C31" s="24" t="str">
        <f aca="false">IF(lost_found!C28="","",lost_found!C28)</f>
        <v/>
      </c>
      <c r="D31" s="24" t="str">
        <f aca="false">IF(lost_found!D28="","",lost_found!D28)</f>
        <v/>
      </c>
      <c r="E31" s="24" t="str">
        <f aca="false">IF(lost_found!I28="","",lost_found!I28)</f>
        <v/>
      </c>
      <c r="F31" s="24" t="str">
        <f aca="false">IF(OR(B31&lt;&gt;"lost",C31=""),"",COUNTIFS(lost_found!$B$2:$B$1000,"found",lost_found!$C$2:$C$1000,C31,lost_found!$I$2:$I$1000,"open"))</f>
        <v/>
      </c>
      <c r="G31" s="24" t="str">
        <f aca="false">IF(OR(B31&lt;&gt;"lost",C31=""),"",IF(D31="",F31,COUNTIFS(lost_found!$B$2:$B$1000,"found",lost_found!$C$2:$C$1000,C31,lost_found!$D$2:$D$1000,D31,lost_found!$I$2:$I$1000,"open")))</f>
        <v/>
      </c>
      <c r="H31" s="24" t="str">
        <f aca="false">IF(B31&lt;&gt;"lost","",IF(C31="","Needs item",IF(G31&gt;0,"Likely match",IF(F31&gt;0,"Possible (colour differs)","No match yet"))))</f>
        <v/>
      </c>
    </row>
    <row r="32" customFormat="false" ht="15" hidden="false" customHeight="false" outlineLevel="0" collapsed="false">
      <c r="A32" s="24" t="str">
        <f aca="false">IF(lost_found!A29="","",lost_found!A29)</f>
        <v/>
      </c>
      <c r="B32" s="24" t="str">
        <f aca="false">IF(lost_found!B29="","",lost_found!B29)</f>
        <v/>
      </c>
      <c r="C32" s="24" t="str">
        <f aca="false">IF(lost_found!C29="","",lost_found!C29)</f>
        <v/>
      </c>
      <c r="D32" s="24" t="str">
        <f aca="false">IF(lost_found!D29="","",lost_found!D29)</f>
        <v/>
      </c>
      <c r="E32" s="24" t="str">
        <f aca="false">IF(lost_found!I29="","",lost_found!I29)</f>
        <v/>
      </c>
      <c r="F32" s="24" t="str">
        <f aca="false">IF(OR(B32&lt;&gt;"lost",C32=""),"",COUNTIFS(lost_found!$B$2:$B$1000,"found",lost_found!$C$2:$C$1000,C32,lost_found!$I$2:$I$1000,"open"))</f>
        <v/>
      </c>
      <c r="G32" s="24" t="str">
        <f aca="false">IF(OR(B32&lt;&gt;"lost",C32=""),"",IF(D32="",F32,COUNTIFS(lost_found!$B$2:$B$1000,"found",lost_found!$C$2:$C$1000,C32,lost_found!$D$2:$D$1000,D32,lost_found!$I$2:$I$1000,"open")))</f>
        <v/>
      </c>
      <c r="H32" s="24" t="str">
        <f aca="false">IF(B32&lt;&gt;"lost","",IF(C32="","Needs item",IF(G32&gt;0,"Likely match",IF(F32&gt;0,"Possible (colour differs)","No match yet"))))</f>
        <v/>
      </c>
    </row>
    <row r="33" customFormat="false" ht="15" hidden="false" customHeight="false" outlineLevel="0" collapsed="false">
      <c r="A33" s="24" t="str">
        <f aca="false">IF(lost_found!A30="","",lost_found!A30)</f>
        <v/>
      </c>
      <c r="B33" s="24" t="str">
        <f aca="false">IF(lost_found!B30="","",lost_found!B30)</f>
        <v/>
      </c>
      <c r="C33" s="24" t="str">
        <f aca="false">IF(lost_found!C30="","",lost_found!C30)</f>
        <v/>
      </c>
      <c r="D33" s="24" t="str">
        <f aca="false">IF(lost_found!D30="","",lost_found!D30)</f>
        <v/>
      </c>
      <c r="E33" s="24" t="str">
        <f aca="false">IF(lost_found!I30="","",lost_found!I30)</f>
        <v/>
      </c>
      <c r="F33" s="24" t="str">
        <f aca="false">IF(OR(B33&lt;&gt;"lost",C33=""),"",COUNTIFS(lost_found!$B$2:$B$1000,"found",lost_found!$C$2:$C$1000,C33,lost_found!$I$2:$I$1000,"open"))</f>
        <v/>
      </c>
      <c r="G33" s="24" t="str">
        <f aca="false">IF(OR(B33&lt;&gt;"lost",C33=""),"",IF(D33="",F33,COUNTIFS(lost_found!$B$2:$B$1000,"found",lost_found!$C$2:$C$1000,C33,lost_found!$D$2:$D$1000,D33,lost_found!$I$2:$I$1000,"open")))</f>
        <v/>
      </c>
      <c r="H33" s="24" t="str">
        <f aca="false">IF(B33&lt;&gt;"lost","",IF(C33="","Needs item",IF(G33&gt;0,"Likely match",IF(F33&gt;0,"Possible (colour differs)","No match yet"))))</f>
        <v/>
      </c>
    </row>
    <row r="34" customFormat="false" ht="15" hidden="false" customHeight="false" outlineLevel="0" collapsed="false">
      <c r="A34" s="24" t="str">
        <f aca="false">IF(lost_found!A31="","",lost_found!A31)</f>
        <v/>
      </c>
      <c r="B34" s="24" t="str">
        <f aca="false">IF(lost_found!B31="","",lost_found!B31)</f>
        <v/>
      </c>
      <c r="C34" s="24" t="str">
        <f aca="false">IF(lost_found!C31="","",lost_found!C31)</f>
        <v/>
      </c>
      <c r="D34" s="24" t="str">
        <f aca="false">IF(lost_found!D31="","",lost_found!D31)</f>
        <v/>
      </c>
      <c r="E34" s="24" t="str">
        <f aca="false">IF(lost_found!I31="","",lost_found!I31)</f>
        <v/>
      </c>
      <c r="F34" s="24" t="str">
        <f aca="false">IF(OR(B34&lt;&gt;"lost",C34=""),"",COUNTIFS(lost_found!$B$2:$B$1000,"found",lost_found!$C$2:$C$1000,C34,lost_found!$I$2:$I$1000,"open"))</f>
        <v/>
      </c>
      <c r="G34" s="24" t="str">
        <f aca="false">IF(OR(B34&lt;&gt;"lost",C34=""),"",IF(D34="",F34,COUNTIFS(lost_found!$B$2:$B$1000,"found",lost_found!$C$2:$C$1000,C34,lost_found!$D$2:$D$1000,D34,lost_found!$I$2:$I$1000,"open")))</f>
        <v/>
      </c>
      <c r="H34" s="24" t="str">
        <f aca="false">IF(B34&lt;&gt;"lost","",IF(C34="","Needs item",IF(G34&gt;0,"Likely match",IF(F34&gt;0,"Possible (colour differs)","No match yet"))))</f>
        <v/>
      </c>
    </row>
    <row r="35" customFormat="false" ht="15" hidden="false" customHeight="false" outlineLevel="0" collapsed="false">
      <c r="A35" s="24" t="str">
        <f aca="false">IF(lost_found!A32="","",lost_found!A32)</f>
        <v/>
      </c>
      <c r="B35" s="24" t="str">
        <f aca="false">IF(lost_found!B32="","",lost_found!B32)</f>
        <v/>
      </c>
      <c r="C35" s="24" t="str">
        <f aca="false">IF(lost_found!C32="","",lost_found!C32)</f>
        <v/>
      </c>
      <c r="D35" s="24" t="str">
        <f aca="false">IF(lost_found!D32="","",lost_found!D32)</f>
        <v/>
      </c>
      <c r="E35" s="24" t="str">
        <f aca="false">IF(lost_found!I32="","",lost_found!I32)</f>
        <v/>
      </c>
      <c r="F35" s="24" t="str">
        <f aca="false">IF(OR(B35&lt;&gt;"lost",C35=""),"",COUNTIFS(lost_found!$B$2:$B$1000,"found",lost_found!$C$2:$C$1000,C35,lost_found!$I$2:$I$1000,"open"))</f>
        <v/>
      </c>
      <c r="G35" s="24" t="str">
        <f aca="false">IF(OR(B35&lt;&gt;"lost",C35=""),"",IF(D35="",F35,COUNTIFS(lost_found!$B$2:$B$1000,"found",lost_found!$C$2:$C$1000,C35,lost_found!$D$2:$D$1000,D35,lost_found!$I$2:$I$1000,"open")))</f>
        <v/>
      </c>
      <c r="H35" s="24" t="str">
        <f aca="false">IF(B35&lt;&gt;"lost","",IF(C35="","Needs item",IF(G35&gt;0,"Likely match",IF(F35&gt;0,"Possible (colour differs)","No match yet"))))</f>
        <v/>
      </c>
    </row>
    <row r="36" customFormat="false" ht="15" hidden="false" customHeight="false" outlineLevel="0" collapsed="false">
      <c r="A36" s="24" t="str">
        <f aca="false">IF(lost_found!A33="","",lost_found!A33)</f>
        <v/>
      </c>
      <c r="B36" s="24" t="str">
        <f aca="false">IF(lost_found!B33="","",lost_found!B33)</f>
        <v/>
      </c>
      <c r="C36" s="24" t="str">
        <f aca="false">IF(lost_found!C33="","",lost_found!C33)</f>
        <v/>
      </c>
      <c r="D36" s="24" t="str">
        <f aca="false">IF(lost_found!D33="","",lost_found!D33)</f>
        <v/>
      </c>
      <c r="E36" s="24" t="str">
        <f aca="false">IF(lost_found!I33="","",lost_found!I33)</f>
        <v/>
      </c>
      <c r="F36" s="24" t="str">
        <f aca="false">IF(OR(B36&lt;&gt;"lost",C36=""),"",COUNTIFS(lost_found!$B$2:$B$1000,"found",lost_found!$C$2:$C$1000,C36,lost_found!$I$2:$I$1000,"open"))</f>
        <v/>
      </c>
      <c r="G36" s="24" t="str">
        <f aca="false">IF(OR(B36&lt;&gt;"lost",C36=""),"",IF(D36="",F36,COUNTIFS(lost_found!$B$2:$B$1000,"found",lost_found!$C$2:$C$1000,C36,lost_found!$D$2:$D$1000,D36,lost_found!$I$2:$I$1000,"open")))</f>
        <v/>
      </c>
      <c r="H36" s="24" t="str">
        <f aca="false">IF(B36&lt;&gt;"lost","",IF(C36="","Needs item",IF(G36&gt;0,"Likely match",IF(F36&gt;0,"Possible (colour differs)","No match yet"))))</f>
        <v/>
      </c>
    </row>
    <row r="37" customFormat="false" ht="15" hidden="false" customHeight="false" outlineLevel="0" collapsed="false">
      <c r="A37" s="24" t="str">
        <f aca="false">IF(lost_found!A34="","",lost_found!A34)</f>
        <v/>
      </c>
      <c r="B37" s="24" t="str">
        <f aca="false">IF(lost_found!B34="","",lost_found!B34)</f>
        <v/>
      </c>
      <c r="C37" s="24" t="str">
        <f aca="false">IF(lost_found!C34="","",lost_found!C34)</f>
        <v/>
      </c>
      <c r="D37" s="24" t="str">
        <f aca="false">IF(lost_found!D34="","",lost_found!D34)</f>
        <v/>
      </c>
      <c r="E37" s="24" t="str">
        <f aca="false">IF(lost_found!I34="","",lost_found!I34)</f>
        <v/>
      </c>
      <c r="F37" s="24" t="str">
        <f aca="false">IF(OR(B37&lt;&gt;"lost",C37=""),"",COUNTIFS(lost_found!$B$2:$B$1000,"found",lost_found!$C$2:$C$1000,C37,lost_found!$I$2:$I$1000,"open"))</f>
        <v/>
      </c>
      <c r="G37" s="24" t="str">
        <f aca="false">IF(OR(B37&lt;&gt;"lost",C37=""),"",IF(D37="",F37,COUNTIFS(lost_found!$B$2:$B$1000,"found",lost_found!$C$2:$C$1000,C37,lost_found!$D$2:$D$1000,D37,lost_found!$I$2:$I$1000,"open")))</f>
        <v/>
      </c>
      <c r="H37" s="24" t="str">
        <f aca="false">IF(B37&lt;&gt;"lost","",IF(C37="","Needs item",IF(G37&gt;0,"Likely match",IF(F37&gt;0,"Possible (colour differs)","No match yet"))))</f>
        <v/>
      </c>
    </row>
    <row r="38" customFormat="false" ht="15" hidden="false" customHeight="false" outlineLevel="0" collapsed="false">
      <c r="A38" s="24" t="str">
        <f aca="false">IF(lost_found!A35="","",lost_found!A35)</f>
        <v/>
      </c>
      <c r="B38" s="24" t="str">
        <f aca="false">IF(lost_found!B35="","",lost_found!B35)</f>
        <v/>
      </c>
      <c r="C38" s="24" t="str">
        <f aca="false">IF(lost_found!C35="","",lost_found!C35)</f>
        <v/>
      </c>
      <c r="D38" s="24" t="str">
        <f aca="false">IF(lost_found!D35="","",lost_found!D35)</f>
        <v/>
      </c>
      <c r="E38" s="24" t="str">
        <f aca="false">IF(lost_found!I35="","",lost_found!I35)</f>
        <v/>
      </c>
      <c r="F38" s="24" t="str">
        <f aca="false">IF(OR(B38&lt;&gt;"lost",C38=""),"",COUNTIFS(lost_found!$B$2:$B$1000,"found",lost_found!$C$2:$C$1000,C38,lost_found!$I$2:$I$1000,"open"))</f>
        <v/>
      </c>
      <c r="G38" s="24" t="str">
        <f aca="false">IF(OR(B38&lt;&gt;"lost",C38=""),"",IF(D38="",F38,COUNTIFS(lost_found!$B$2:$B$1000,"found",lost_found!$C$2:$C$1000,C38,lost_found!$D$2:$D$1000,D38,lost_found!$I$2:$I$1000,"open")))</f>
        <v/>
      </c>
      <c r="H38" s="24" t="str">
        <f aca="false">IF(B38&lt;&gt;"lost","",IF(C38="","Needs item",IF(G38&gt;0,"Likely match",IF(F38&gt;0,"Possible (colour differs)","No match yet"))))</f>
        <v/>
      </c>
    </row>
    <row r="39" customFormat="false" ht="15" hidden="false" customHeight="false" outlineLevel="0" collapsed="false">
      <c r="A39" s="24" t="str">
        <f aca="false">IF(lost_found!A36="","",lost_found!A36)</f>
        <v/>
      </c>
      <c r="B39" s="24" t="str">
        <f aca="false">IF(lost_found!B36="","",lost_found!B36)</f>
        <v/>
      </c>
      <c r="C39" s="24" t="str">
        <f aca="false">IF(lost_found!C36="","",lost_found!C36)</f>
        <v/>
      </c>
      <c r="D39" s="24" t="str">
        <f aca="false">IF(lost_found!D36="","",lost_found!D36)</f>
        <v/>
      </c>
      <c r="E39" s="24" t="str">
        <f aca="false">IF(lost_found!I36="","",lost_found!I36)</f>
        <v/>
      </c>
      <c r="F39" s="24" t="str">
        <f aca="false">IF(OR(B39&lt;&gt;"lost",C39=""),"",COUNTIFS(lost_found!$B$2:$B$1000,"found",lost_found!$C$2:$C$1000,C39,lost_found!$I$2:$I$1000,"open"))</f>
        <v/>
      </c>
      <c r="G39" s="24" t="str">
        <f aca="false">IF(OR(B39&lt;&gt;"lost",C39=""),"",IF(D39="",F39,COUNTIFS(lost_found!$B$2:$B$1000,"found",lost_found!$C$2:$C$1000,C39,lost_found!$D$2:$D$1000,D39,lost_found!$I$2:$I$1000,"open")))</f>
        <v/>
      </c>
      <c r="H39" s="24" t="str">
        <f aca="false">IF(B39&lt;&gt;"lost","",IF(C39="","Needs item",IF(G39&gt;0,"Likely match",IF(F39&gt;0,"Possible (colour differs)","No match yet"))))</f>
        <v/>
      </c>
    </row>
    <row r="40" customFormat="false" ht="15" hidden="false" customHeight="false" outlineLevel="0" collapsed="false">
      <c r="A40" s="24" t="str">
        <f aca="false">IF(lost_found!A37="","",lost_found!A37)</f>
        <v/>
      </c>
      <c r="B40" s="24" t="str">
        <f aca="false">IF(lost_found!B37="","",lost_found!B37)</f>
        <v/>
      </c>
      <c r="C40" s="24" t="str">
        <f aca="false">IF(lost_found!C37="","",lost_found!C37)</f>
        <v/>
      </c>
      <c r="D40" s="24" t="str">
        <f aca="false">IF(lost_found!D37="","",lost_found!D37)</f>
        <v/>
      </c>
      <c r="E40" s="24" t="str">
        <f aca="false">IF(lost_found!I37="","",lost_found!I37)</f>
        <v/>
      </c>
      <c r="F40" s="24" t="str">
        <f aca="false">IF(OR(B40&lt;&gt;"lost",C40=""),"",COUNTIFS(lost_found!$B$2:$B$1000,"found",lost_found!$C$2:$C$1000,C40,lost_found!$I$2:$I$1000,"open"))</f>
        <v/>
      </c>
      <c r="G40" s="24" t="str">
        <f aca="false">IF(OR(B40&lt;&gt;"lost",C40=""),"",IF(D40="",F40,COUNTIFS(lost_found!$B$2:$B$1000,"found",lost_found!$C$2:$C$1000,C40,lost_found!$D$2:$D$1000,D40,lost_found!$I$2:$I$1000,"open")))</f>
        <v/>
      </c>
      <c r="H40" s="24" t="str">
        <f aca="false">IF(B40&lt;&gt;"lost","",IF(C40="","Needs item",IF(G40&gt;0,"Likely match",IF(F40&gt;0,"Possible (colour differs)","No match yet"))))</f>
        <v/>
      </c>
    </row>
    <row r="41" customFormat="false" ht="15" hidden="false" customHeight="false" outlineLevel="0" collapsed="false">
      <c r="A41" s="24" t="str">
        <f aca="false">IF(lost_found!A38="","",lost_found!A38)</f>
        <v/>
      </c>
      <c r="B41" s="24" t="str">
        <f aca="false">IF(lost_found!B38="","",lost_found!B38)</f>
        <v/>
      </c>
      <c r="C41" s="24" t="str">
        <f aca="false">IF(lost_found!C38="","",lost_found!C38)</f>
        <v/>
      </c>
      <c r="D41" s="24" t="str">
        <f aca="false">IF(lost_found!D38="","",lost_found!D38)</f>
        <v/>
      </c>
      <c r="E41" s="24" t="str">
        <f aca="false">IF(lost_found!I38="","",lost_found!I38)</f>
        <v/>
      </c>
      <c r="F41" s="24" t="str">
        <f aca="false">IF(OR(B41&lt;&gt;"lost",C41=""),"",COUNTIFS(lost_found!$B$2:$B$1000,"found",lost_found!$C$2:$C$1000,C41,lost_found!$I$2:$I$1000,"open"))</f>
        <v/>
      </c>
      <c r="G41" s="24" t="str">
        <f aca="false">IF(OR(B41&lt;&gt;"lost",C41=""),"",IF(D41="",F41,COUNTIFS(lost_found!$B$2:$B$1000,"found",lost_found!$C$2:$C$1000,C41,lost_found!$D$2:$D$1000,D41,lost_found!$I$2:$I$1000,"open")))</f>
        <v/>
      </c>
      <c r="H41" s="24" t="str">
        <f aca="false">IF(B41&lt;&gt;"lost","",IF(C41="","Needs item",IF(G41&gt;0,"Likely match",IF(F41&gt;0,"Possible (colour differs)","No match yet"))))</f>
        <v/>
      </c>
    </row>
    <row r="42" customFormat="false" ht="15" hidden="false" customHeight="false" outlineLevel="0" collapsed="false">
      <c r="A42" s="24" t="str">
        <f aca="false">IF(lost_found!A39="","",lost_found!A39)</f>
        <v/>
      </c>
      <c r="B42" s="24" t="str">
        <f aca="false">IF(lost_found!B39="","",lost_found!B39)</f>
        <v/>
      </c>
      <c r="C42" s="24" t="str">
        <f aca="false">IF(lost_found!C39="","",lost_found!C39)</f>
        <v/>
      </c>
      <c r="D42" s="24" t="str">
        <f aca="false">IF(lost_found!D39="","",lost_found!D39)</f>
        <v/>
      </c>
      <c r="E42" s="24" t="str">
        <f aca="false">IF(lost_found!I39="","",lost_found!I39)</f>
        <v/>
      </c>
      <c r="F42" s="24" t="str">
        <f aca="false">IF(OR(B42&lt;&gt;"lost",C42=""),"",COUNTIFS(lost_found!$B$2:$B$1000,"found",lost_found!$C$2:$C$1000,C42,lost_found!$I$2:$I$1000,"open"))</f>
        <v/>
      </c>
      <c r="G42" s="24" t="str">
        <f aca="false">IF(OR(B42&lt;&gt;"lost",C42=""),"",IF(D42="",F42,COUNTIFS(lost_found!$B$2:$B$1000,"found",lost_found!$C$2:$C$1000,C42,lost_found!$D$2:$D$1000,D42,lost_found!$I$2:$I$1000,"open")))</f>
        <v/>
      </c>
      <c r="H42" s="24" t="str">
        <f aca="false">IF(B42&lt;&gt;"lost","",IF(C42="","Needs item",IF(G42&gt;0,"Likely match",IF(F42&gt;0,"Possible (colour differs)","No match yet"))))</f>
        <v/>
      </c>
    </row>
    <row r="43" customFormat="false" ht="15" hidden="false" customHeight="false" outlineLevel="0" collapsed="false">
      <c r="A43" s="24" t="str">
        <f aca="false">IF(lost_found!A40="","",lost_found!A40)</f>
        <v/>
      </c>
      <c r="B43" s="24" t="str">
        <f aca="false">IF(lost_found!B40="","",lost_found!B40)</f>
        <v/>
      </c>
      <c r="C43" s="24" t="str">
        <f aca="false">IF(lost_found!C40="","",lost_found!C40)</f>
        <v/>
      </c>
      <c r="D43" s="24" t="str">
        <f aca="false">IF(lost_found!D40="","",lost_found!D40)</f>
        <v/>
      </c>
      <c r="E43" s="24" t="str">
        <f aca="false">IF(lost_found!I40="","",lost_found!I40)</f>
        <v/>
      </c>
      <c r="F43" s="24" t="str">
        <f aca="false">IF(OR(B43&lt;&gt;"lost",C43=""),"",COUNTIFS(lost_found!$B$2:$B$1000,"found",lost_found!$C$2:$C$1000,C43,lost_found!$I$2:$I$1000,"open"))</f>
        <v/>
      </c>
      <c r="G43" s="24" t="str">
        <f aca="false">IF(OR(B43&lt;&gt;"lost",C43=""),"",IF(D43="",F43,COUNTIFS(lost_found!$B$2:$B$1000,"found",lost_found!$C$2:$C$1000,C43,lost_found!$D$2:$D$1000,D43,lost_found!$I$2:$I$1000,"open")))</f>
        <v/>
      </c>
      <c r="H43" s="24" t="str">
        <f aca="false">IF(B43&lt;&gt;"lost","",IF(C43="","Needs item",IF(G43&gt;0,"Likely match",IF(F43&gt;0,"Possible (colour differs)","No match yet"))))</f>
        <v/>
      </c>
    </row>
    <row r="44" customFormat="false" ht="15" hidden="false" customHeight="false" outlineLevel="0" collapsed="false">
      <c r="A44" s="24" t="str">
        <f aca="false">IF(lost_found!A41="","",lost_found!A41)</f>
        <v/>
      </c>
      <c r="B44" s="24" t="str">
        <f aca="false">IF(lost_found!B41="","",lost_found!B41)</f>
        <v/>
      </c>
      <c r="C44" s="24" t="str">
        <f aca="false">IF(lost_found!C41="","",lost_found!C41)</f>
        <v/>
      </c>
      <c r="D44" s="24" t="str">
        <f aca="false">IF(lost_found!D41="","",lost_found!D41)</f>
        <v/>
      </c>
      <c r="E44" s="24" t="str">
        <f aca="false">IF(lost_found!I41="","",lost_found!I41)</f>
        <v/>
      </c>
      <c r="F44" s="24" t="str">
        <f aca="false">IF(OR(B44&lt;&gt;"lost",C44=""),"",COUNTIFS(lost_found!$B$2:$B$1000,"found",lost_found!$C$2:$C$1000,C44,lost_found!$I$2:$I$1000,"open"))</f>
        <v/>
      </c>
      <c r="G44" s="24" t="str">
        <f aca="false">IF(OR(B44&lt;&gt;"lost",C44=""),"",IF(D44="",F44,COUNTIFS(lost_found!$B$2:$B$1000,"found",lost_found!$C$2:$C$1000,C44,lost_found!$D$2:$D$1000,D44,lost_found!$I$2:$I$1000,"open")))</f>
        <v/>
      </c>
      <c r="H44" s="24" t="str">
        <f aca="false">IF(B44&lt;&gt;"lost","",IF(C44="","Needs item",IF(G44&gt;0,"Likely match",IF(F44&gt;0,"Possible (colour differs)","No match yet"))))</f>
        <v/>
      </c>
    </row>
    <row r="45" customFormat="false" ht="15" hidden="false" customHeight="false" outlineLevel="0" collapsed="false">
      <c r="A45" s="24" t="str">
        <f aca="false">IF(lost_found!A42="","",lost_found!A42)</f>
        <v/>
      </c>
      <c r="B45" s="24" t="str">
        <f aca="false">IF(lost_found!B42="","",lost_found!B42)</f>
        <v/>
      </c>
      <c r="C45" s="24" t="str">
        <f aca="false">IF(lost_found!C42="","",lost_found!C42)</f>
        <v/>
      </c>
      <c r="D45" s="24" t="str">
        <f aca="false">IF(lost_found!D42="","",lost_found!D42)</f>
        <v/>
      </c>
      <c r="E45" s="24" t="str">
        <f aca="false">IF(lost_found!I42="","",lost_found!I42)</f>
        <v/>
      </c>
      <c r="F45" s="24" t="str">
        <f aca="false">IF(OR(B45&lt;&gt;"lost",C45=""),"",COUNTIFS(lost_found!$B$2:$B$1000,"found",lost_found!$C$2:$C$1000,C45,lost_found!$I$2:$I$1000,"open"))</f>
        <v/>
      </c>
      <c r="G45" s="24" t="str">
        <f aca="false">IF(OR(B45&lt;&gt;"lost",C45=""),"",IF(D45="",F45,COUNTIFS(lost_found!$B$2:$B$1000,"found",lost_found!$C$2:$C$1000,C45,lost_found!$D$2:$D$1000,D45,lost_found!$I$2:$I$1000,"open")))</f>
        <v/>
      </c>
      <c r="H45" s="24" t="str">
        <f aca="false">IF(B45&lt;&gt;"lost","",IF(C45="","Needs item",IF(G45&gt;0,"Likely match",IF(F45&gt;0,"Possible (colour differs)","No match yet"))))</f>
        <v/>
      </c>
    </row>
    <row r="46" customFormat="false" ht="15" hidden="false" customHeight="false" outlineLevel="0" collapsed="false">
      <c r="A46" s="24" t="str">
        <f aca="false">IF(lost_found!A43="","",lost_found!A43)</f>
        <v/>
      </c>
      <c r="B46" s="24" t="str">
        <f aca="false">IF(lost_found!B43="","",lost_found!B43)</f>
        <v/>
      </c>
      <c r="C46" s="24" t="str">
        <f aca="false">IF(lost_found!C43="","",lost_found!C43)</f>
        <v/>
      </c>
      <c r="D46" s="24" t="str">
        <f aca="false">IF(lost_found!D43="","",lost_found!D43)</f>
        <v/>
      </c>
      <c r="E46" s="24" t="str">
        <f aca="false">IF(lost_found!I43="","",lost_found!I43)</f>
        <v/>
      </c>
      <c r="F46" s="24" t="str">
        <f aca="false">IF(OR(B46&lt;&gt;"lost",C46=""),"",COUNTIFS(lost_found!$B$2:$B$1000,"found",lost_found!$C$2:$C$1000,C46,lost_found!$I$2:$I$1000,"open"))</f>
        <v/>
      </c>
      <c r="G46" s="24" t="str">
        <f aca="false">IF(OR(B46&lt;&gt;"lost",C46=""),"",IF(D46="",F46,COUNTIFS(lost_found!$B$2:$B$1000,"found",lost_found!$C$2:$C$1000,C46,lost_found!$D$2:$D$1000,D46,lost_found!$I$2:$I$1000,"open")))</f>
        <v/>
      </c>
      <c r="H46" s="24" t="str">
        <f aca="false">IF(B46&lt;&gt;"lost","",IF(C46="","Needs item",IF(G46&gt;0,"Likely match",IF(F46&gt;0,"Possible (colour differs)","No match yet"))))</f>
        <v/>
      </c>
    </row>
    <row r="47" customFormat="false" ht="15" hidden="false" customHeight="false" outlineLevel="0" collapsed="false">
      <c r="A47" s="24" t="str">
        <f aca="false">IF(lost_found!A44="","",lost_found!A44)</f>
        <v/>
      </c>
      <c r="B47" s="24" t="str">
        <f aca="false">IF(lost_found!B44="","",lost_found!B44)</f>
        <v/>
      </c>
      <c r="C47" s="24" t="str">
        <f aca="false">IF(lost_found!C44="","",lost_found!C44)</f>
        <v/>
      </c>
      <c r="D47" s="24" t="str">
        <f aca="false">IF(lost_found!D44="","",lost_found!D44)</f>
        <v/>
      </c>
      <c r="E47" s="24" t="str">
        <f aca="false">IF(lost_found!I44="","",lost_found!I44)</f>
        <v/>
      </c>
      <c r="F47" s="24" t="str">
        <f aca="false">IF(OR(B47&lt;&gt;"lost",C47=""),"",COUNTIFS(lost_found!$B$2:$B$1000,"found",lost_found!$C$2:$C$1000,C47,lost_found!$I$2:$I$1000,"open"))</f>
        <v/>
      </c>
      <c r="G47" s="24" t="str">
        <f aca="false">IF(OR(B47&lt;&gt;"lost",C47=""),"",IF(D47="",F47,COUNTIFS(lost_found!$B$2:$B$1000,"found",lost_found!$C$2:$C$1000,C47,lost_found!$D$2:$D$1000,D47,lost_found!$I$2:$I$1000,"open")))</f>
        <v/>
      </c>
      <c r="H47" s="24" t="str">
        <f aca="false">IF(B47&lt;&gt;"lost","",IF(C47="","Needs item",IF(G47&gt;0,"Likely match",IF(F47&gt;0,"Possible (colour differs)","No match yet"))))</f>
        <v/>
      </c>
    </row>
    <row r="48" customFormat="false" ht="15" hidden="false" customHeight="false" outlineLevel="0" collapsed="false">
      <c r="A48" s="24" t="str">
        <f aca="false">IF(lost_found!A45="","",lost_found!A45)</f>
        <v/>
      </c>
      <c r="B48" s="24" t="str">
        <f aca="false">IF(lost_found!B45="","",lost_found!B45)</f>
        <v/>
      </c>
      <c r="C48" s="24" t="str">
        <f aca="false">IF(lost_found!C45="","",lost_found!C45)</f>
        <v/>
      </c>
      <c r="D48" s="24" t="str">
        <f aca="false">IF(lost_found!D45="","",lost_found!D45)</f>
        <v/>
      </c>
      <c r="E48" s="24" t="str">
        <f aca="false">IF(lost_found!I45="","",lost_found!I45)</f>
        <v/>
      </c>
      <c r="F48" s="24" t="str">
        <f aca="false">IF(OR(B48&lt;&gt;"lost",C48=""),"",COUNTIFS(lost_found!$B$2:$B$1000,"found",lost_found!$C$2:$C$1000,C48,lost_found!$I$2:$I$1000,"open"))</f>
        <v/>
      </c>
      <c r="G48" s="24" t="str">
        <f aca="false">IF(OR(B48&lt;&gt;"lost",C48=""),"",IF(D48="",F48,COUNTIFS(lost_found!$B$2:$B$1000,"found",lost_found!$C$2:$C$1000,C48,lost_found!$D$2:$D$1000,D48,lost_found!$I$2:$I$1000,"open")))</f>
        <v/>
      </c>
      <c r="H48" s="24" t="str">
        <f aca="false">IF(B48&lt;&gt;"lost","",IF(C48="","Needs item",IF(G48&gt;0,"Likely match",IF(F48&gt;0,"Possible (colour differs)","No match yet"))))</f>
        <v/>
      </c>
    </row>
    <row r="49" customFormat="false" ht="15" hidden="false" customHeight="false" outlineLevel="0" collapsed="false">
      <c r="A49" s="24" t="str">
        <f aca="false">IF(lost_found!A46="","",lost_found!A46)</f>
        <v/>
      </c>
      <c r="B49" s="24" t="str">
        <f aca="false">IF(lost_found!B46="","",lost_found!B46)</f>
        <v/>
      </c>
      <c r="C49" s="24" t="str">
        <f aca="false">IF(lost_found!C46="","",lost_found!C46)</f>
        <v/>
      </c>
      <c r="D49" s="24" t="str">
        <f aca="false">IF(lost_found!D46="","",lost_found!D46)</f>
        <v/>
      </c>
      <c r="E49" s="24" t="str">
        <f aca="false">IF(lost_found!I46="","",lost_found!I46)</f>
        <v/>
      </c>
      <c r="F49" s="24" t="str">
        <f aca="false">IF(OR(B49&lt;&gt;"lost",C49=""),"",COUNTIFS(lost_found!$B$2:$B$1000,"found",lost_found!$C$2:$C$1000,C49,lost_found!$I$2:$I$1000,"open"))</f>
        <v/>
      </c>
      <c r="G49" s="24" t="str">
        <f aca="false">IF(OR(B49&lt;&gt;"lost",C49=""),"",IF(D49="",F49,COUNTIFS(lost_found!$B$2:$B$1000,"found",lost_found!$C$2:$C$1000,C49,lost_found!$D$2:$D$1000,D49,lost_found!$I$2:$I$1000,"open")))</f>
        <v/>
      </c>
      <c r="H49" s="24" t="str">
        <f aca="false">IF(B49&lt;&gt;"lost","",IF(C49="","Needs item",IF(G49&gt;0,"Likely match",IF(F49&gt;0,"Possible (colour differs)","No match yet"))))</f>
        <v/>
      </c>
    </row>
    <row r="50" customFormat="false" ht="15" hidden="false" customHeight="false" outlineLevel="0" collapsed="false">
      <c r="A50" s="24" t="str">
        <f aca="false">IF(lost_found!A47="","",lost_found!A47)</f>
        <v/>
      </c>
      <c r="B50" s="24" t="str">
        <f aca="false">IF(lost_found!B47="","",lost_found!B47)</f>
        <v/>
      </c>
      <c r="C50" s="24" t="str">
        <f aca="false">IF(lost_found!C47="","",lost_found!C47)</f>
        <v/>
      </c>
      <c r="D50" s="24" t="str">
        <f aca="false">IF(lost_found!D47="","",lost_found!D47)</f>
        <v/>
      </c>
      <c r="E50" s="24" t="str">
        <f aca="false">IF(lost_found!I47="","",lost_found!I47)</f>
        <v/>
      </c>
      <c r="F50" s="24" t="str">
        <f aca="false">IF(OR(B50&lt;&gt;"lost",C50=""),"",COUNTIFS(lost_found!$B$2:$B$1000,"found",lost_found!$C$2:$C$1000,C50,lost_found!$I$2:$I$1000,"open"))</f>
        <v/>
      </c>
      <c r="G50" s="24" t="str">
        <f aca="false">IF(OR(B50&lt;&gt;"lost",C50=""),"",IF(D50="",F50,COUNTIFS(lost_found!$B$2:$B$1000,"found",lost_found!$C$2:$C$1000,C50,lost_found!$D$2:$D$1000,D50,lost_found!$I$2:$I$1000,"open")))</f>
        <v/>
      </c>
      <c r="H50" s="24" t="str">
        <f aca="false">IF(B50&lt;&gt;"lost","",IF(C50="","Needs item",IF(G50&gt;0,"Likely match",IF(F50&gt;0,"Possible (colour differs)","No match yet"))))</f>
        <v/>
      </c>
    </row>
    <row r="51" customFormat="false" ht="15" hidden="false" customHeight="false" outlineLevel="0" collapsed="false">
      <c r="A51" s="24" t="str">
        <f aca="false">IF(lost_found!A48="","",lost_found!A48)</f>
        <v/>
      </c>
      <c r="B51" s="24" t="str">
        <f aca="false">IF(lost_found!B48="","",lost_found!B48)</f>
        <v/>
      </c>
      <c r="C51" s="24" t="str">
        <f aca="false">IF(lost_found!C48="","",lost_found!C48)</f>
        <v/>
      </c>
      <c r="D51" s="24" t="str">
        <f aca="false">IF(lost_found!D48="","",lost_found!D48)</f>
        <v/>
      </c>
      <c r="E51" s="24" t="str">
        <f aca="false">IF(lost_found!I48="","",lost_found!I48)</f>
        <v/>
      </c>
      <c r="F51" s="24" t="str">
        <f aca="false">IF(OR(B51&lt;&gt;"lost",C51=""),"",COUNTIFS(lost_found!$B$2:$B$1000,"found",lost_found!$C$2:$C$1000,C51,lost_found!$I$2:$I$1000,"open"))</f>
        <v/>
      </c>
      <c r="G51" s="24" t="str">
        <f aca="false">IF(OR(B51&lt;&gt;"lost",C51=""),"",IF(D51="",F51,COUNTIFS(lost_found!$B$2:$B$1000,"found",lost_found!$C$2:$C$1000,C51,lost_found!$D$2:$D$1000,D51,lost_found!$I$2:$I$1000,"open")))</f>
        <v/>
      </c>
      <c r="H51" s="24" t="str">
        <f aca="false">IF(B51&lt;&gt;"lost","",IF(C51="","Needs item",IF(G51&gt;0,"Likely match",IF(F51&gt;0,"Possible (colour differs)","No match yet"))))</f>
        <v/>
      </c>
    </row>
    <row r="52" customFormat="false" ht="15" hidden="false" customHeight="false" outlineLevel="0" collapsed="false">
      <c r="A52" s="24" t="str">
        <f aca="false">IF(lost_found!A49="","",lost_found!A49)</f>
        <v/>
      </c>
      <c r="B52" s="24" t="str">
        <f aca="false">IF(lost_found!B49="","",lost_found!B49)</f>
        <v/>
      </c>
      <c r="C52" s="24" t="str">
        <f aca="false">IF(lost_found!C49="","",lost_found!C49)</f>
        <v/>
      </c>
      <c r="D52" s="24" t="str">
        <f aca="false">IF(lost_found!D49="","",lost_found!D49)</f>
        <v/>
      </c>
      <c r="E52" s="24" t="str">
        <f aca="false">IF(lost_found!I49="","",lost_found!I49)</f>
        <v/>
      </c>
      <c r="F52" s="24" t="str">
        <f aca="false">IF(OR(B52&lt;&gt;"lost",C52=""),"",COUNTIFS(lost_found!$B$2:$B$1000,"found",lost_found!$C$2:$C$1000,C52,lost_found!$I$2:$I$1000,"open"))</f>
        <v/>
      </c>
      <c r="G52" s="24" t="str">
        <f aca="false">IF(OR(B52&lt;&gt;"lost",C52=""),"",IF(D52="",F52,COUNTIFS(lost_found!$B$2:$B$1000,"found",lost_found!$C$2:$C$1000,C52,lost_found!$D$2:$D$1000,D52,lost_found!$I$2:$I$1000,"open")))</f>
        <v/>
      </c>
      <c r="H52" s="24" t="str">
        <f aca="false">IF(B52&lt;&gt;"lost","",IF(C52="","Needs item",IF(G52&gt;0,"Likely match",IF(F52&gt;0,"Possible (colour differs)","No match yet"))))</f>
        <v/>
      </c>
    </row>
    <row r="53" customFormat="false" ht="15" hidden="false" customHeight="false" outlineLevel="0" collapsed="false">
      <c r="A53" s="24" t="str">
        <f aca="false">IF(lost_found!A50="","",lost_found!A50)</f>
        <v/>
      </c>
      <c r="B53" s="24" t="str">
        <f aca="false">IF(lost_found!B50="","",lost_found!B50)</f>
        <v/>
      </c>
      <c r="C53" s="24" t="str">
        <f aca="false">IF(lost_found!C50="","",lost_found!C50)</f>
        <v/>
      </c>
      <c r="D53" s="24" t="str">
        <f aca="false">IF(lost_found!D50="","",lost_found!D50)</f>
        <v/>
      </c>
      <c r="E53" s="24" t="str">
        <f aca="false">IF(lost_found!I50="","",lost_found!I50)</f>
        <v/>
      </c>
      <c r="F53" s="24" t="str">
        <f aca="false">IF(OR(B53&lt;&gt;"lost",C53=""),"",COUNTIFS(lost_found!$B$2:$B$1000,"found",lost_found!$C$2:$C$1000,C53,lost_found!$I$2:$I$1000,"open"))</f>
        <v/>
      </c>
      <c r="G53" s="24" t="str">
        <f aca="false">IF(OR(B53&lt;&gt;"lost",C53=""),"",IF(D53="",F53,COUNTIFS(lost_found!$B$2:$B$1000,"found",lost_found!$C$2:$C$1000,C53,lost_found!$D$2:$D$1000,D53,lost_found!$I$2:$I$1000,"open")))</f>
        <v/>
      </c>
      <c r="H53" s="24" t="str">
        <f aca="false">IF(B53&lt;&gt;"lost","",IF(C53="","Needs item",IF(G53&gt;0,"Likely match",IF(F53&gt;0,"Possible (colour differs)","No match yet"))))</f>
        <v/>
      </c>
    </row>
    <row r="54" customFormat="false" ht="15" hidden="false" customHeight="false" outlineLevel="0" collapsed="false">
      <c r="A54" s="24" t="str">
        <f aca="false">IF(lost_found!A51="","",lost_found!A51)</f>
        <v/>
      </c>
      <c r="B54" s="24" t="str">
        <f aca="false">IF(lost_found!B51="","",lost_found!B51)</f>
        <v/>
      </c>
      <c r="C54" s="24" t="str">
        <f aca="false">IF(lost_found!C51="","",lost_found!C51)</f>
        <v/>
      </c>
      <c r="D54" s="24" t="str">
        <f aca="false">IF(lost_found!D51="","",lost_found!D51)</f>
        <v/>
      </c>
      <c r="E54" s="24" t="str">
        <f aca="false">IF(lost_found!I51="","",lost_found!I51)</f>
        <v/>
      </c>
      <c r="F54" s="24" t="str">
        <f aca="false">IF(OR(B54&lt;&gt;"lost",C54=""),"",COUNTIFS(lost_found!$B$2:$B$1000,"found",lost_found!$C$2:$C$1000,C54,lost_found!$I$2:$I$1000,"open"))</f>
        <v/>
      </c>
      <c r="G54" s="24" t="str">
        <f aca="false">IF(OR(B54&lt;&gt;"lost",C54=""),"",IF(D54="",F54,COUNTIFS(lost_found!$B$2:$B$1000,"found",lost_found!$C$2:$C$1000,C54,lost_found!$D$2:$D$1000,D54,lost_found!$I$2:$I$1000,"open")))</f>
        <v/>
      </c>
      <c r="H54" s="24" t="str">
        <f aca="false">IF(B54&lt;&gt;"lost","",IF(C54="","Needs item",IF(G54&gt;0,"Likely match",IF(F54&gt;0,"Possible (colour differs)","No match yet"))))</f>
        <v/>
      </c>
    </row>
    <row r="55" customFormat="false" ht="15" hidden="false" customHeight="false" outlineLevel="0" collapsed="false">
      <c r="A55" s="24" t="str">
        <f aca="false">IF(lost_found!A52="","",lost_found!A52)</f>
        <v/>
      </c>
      <c r="B55" s="24" t="str">
        <f aca="false">IF(lost_found!B52="","",lost_found!B52)</f>
        <v/>
      </c>
      <c r="C55" s="24" t="str">
        <f aca="false">IF(lost_found!C52="","",lost_found!C52)</f>
        <v/>
      </c>
      <c r="D55" s="24" t="str">
        <f aca="false">IF(lost_found!D52="","",lost_found!D52)</f>
        <v/>
      </c>
      <c r="E55" s="24" t="str">
        <f aca="false">IF(lost_found!I52="","",lost_found!I52)</f>
        <v/>
      </c>
      <c r="F55" s="24" t="str">
        <f aca="false">IF(OR(B55&lt;&gt;"lost",C55=""),"",COUNTIFS(lost_found!$B$2:$B$1000,"found",lost_found!$C$2:$C$1000,C55,lost_found!$I$2:$I$1000,"open"))</f>
        <v/>
      </c>
      <c r="G55" s="24" t="str">
        <f aca="false">IF(OR(B55&lt;&gt;"lost",C55=""),"",IF(D55="",F55,COUNTIFS(lost_found!$B$2:$B$1000,"found",lost_found!$C$2:$C$1000,C55,lost_found!$D$2:$D$1000,D55,lost_found!$I$2:$I$1000,"open")))</f>
        <v/>
      </c>
      <c r="H55" s="24" t="str">
        <f aca="false">IF(B55&lt;&gt;"lost","",IF(C55="","Needs item",IF(G55&gt;0,"Likely match",IF(F55&gt;0,"Possible (colour differs)","No match yet"))))</f>
        <v/>
      </c>
    </row>
    <row r="56" customFormat="false" ht="15" hidden="false" customHeight="false" outlineLevel="0" collapsed="false">
      <c r="A56" s="24" t="str">
        <f aca="false">IF(lost_found!A53="","",lost_found!A53)</f>
        <v/>
      </c>
      <c r="B56" s="24" t="str">
        <f aca="false">IF(lost_found!B53="","",lost_found!B53)</f>
        <v/>
      </c>
      <c r="C56" s="24" t="str">
        <f aca="false">IF(lost_found!C53="","",lost_found!C53)</f>
        <v/>
      </c>
      <c r="D56" s="24" t="str">
        <f aca="false">IF(lost_found!D53="","",lost_found!D53)</f>
        <v/>
      </c>
      <c r="E56" s="24" t="str">
        <f aca="false">IF(lost_found!I53="","",lost_found!I53)</f>
        <v/>
      </c>
      <c r="F56" s="24" t="str">
        <f aca="false">IF(OR(B56&lt;&gt;"lost",C56=""),"",COUNTIFS(lost_found!$B$2:$B$1000,"found",lost_found!$C$2:$C$1000,C56,lost_found!$I$2:$I$1000,"open"))</f>
        <v/>
      </c>
      <c r="G56" s="24" t="str">
        <f aca="false">IF(OR(B56&lt;&gt;"lost",C56=""),"",IF(D56="",F56,COUNTIFS(lost_found!$B$2:$B$1000,"found",lost_found!$C$2:$C$1000,C56,lost_found!$D$2:$D$1000,D56,lost_found!$I$2:$I$1000,"open")))</f>
        <v/>
      </c>
      <c r="H56" s="24" t="str">
        <f aca="false">IF(B56&lt;&gt;"lost","",IF(C56="","Needs item",IF(G56&gt;0,"Likely match",IF(F56&gt;0,"Possible (colour differs)","No match yet"))))</f>
        <v/>
      </c>
    </row>
    <row r="57" customFormat="false" ht="15" hidden="false" customHeight="false" outlineLevel="0" collapsed="false">
      <c r="A57" s="24" t="str">
        <f aca="false">IF(lost_found!A54="","",lost_found!A54)</f>
        <v/>
      </c>
      <c r="B57" s="24" t="str">
        <f aca="false">IF(lost_found!B54="","",lost_found!B54)</f>
        <v/>
      </c>
      <c r="C57" s="24" t="str">
        <f aca="false">IF(lost_found!C54="","",lost_found!C54)</f>
        <v/>
      </c>
      <c r="D57" s="24" t="str">
        <f aca="false">IF(lost_found!D54="","",lost_found!D54)</f>
        <v/>
      </c>
      <c r="E57" s="24" t="str">
        <f aca="false">IF(lost_found!I54="","",lost_found!I54)</f>
        <v/>
      </c>
      <c r="F57" s="24" t="str">
        <f aca="false">IF(OR(B57&lt;&gt;"lost",C57=""),"",COUNTIFS(lost_found!$B$2:$B$1000,"found",lost_found!$C$2:$C$1000,C57,lost_found!$I$2:$I$1000,"open"))</f>
        <v/>
      </c>
      <c r="G57" s="24" t="str">
        <f aca="false">IF(OR(B57&lt;&gt;"lost",C57=""),"",IF(D57="",F57,COUNTIFS(lost_found!$B$2:$B$1000,"found",lost_found!$C$2:$C$1000,C57,lost_found!$D$2:$D$1000,D57,lost_found!$I$2:$I$1000,"open")))</f>
        <v/>
      </c>
      <c r="H57" s="24" t="str">
        <f aca="false">IF(B57&lt;&gt;"lost","",IF(C57="","Needs item",IF(G57&gt;0,"Likely match",IF(F57&gt;0,"Possible (colour differs)","No match yet"))))</f>
        <v/>
      </c>
    </row>
    <row r="58" customFormat="false" ht="15" hidden="false" customHeight="false" outlineLevel="0" collapsed="false">
      <c r="A58" s="24" t="str">
        <f aca="false">IF(lost_found!A55="","",lost_found!A55)</f>
        <v/>
      </c>
      <c r="B58" s="24" t="str">
        <f aca="false">IF(lost_found!B55="","",lost_found!B55)</f>
        <v/>
      </c>
      <c r="C58" s="24" t="str">
        <f aca="false">IF(lost_found!C55="","",lost_found!C55)</f>
        <v/>
      </c>
      <c r="D58" s="24" t="str">
        <f aca="false">IF(lost_found!D55="","",lost_found!D55)</f>
        <v/>
      </c>
      <c r="E58" s="24" t="str">
        <f aca="false">IF(lost_found!I55="","",lost_found!I55)</f>
        <v/>
      </c>
      <c r="F58" s="24" t="str">
        <f aca="false">IF(OR(B58&lt;&gt;"lost",C58=""),"",COUNTIFS(lost_found!$B$2:$B$1000,"found",lost_found!$C$2:$C$1000,C58,lost_found!$I$2:$I$1000,"open"))</f>
        <v/>
      </c>
      <c r="G58" s="24" t="str">
        <f aca="false">IF(OR(B58&lt;&gt;"lost",C58=""),"",IF(D58="",F58,COUNTIFS(lost_found!$B$2:$B$1000,"found",lost_found!$C$2:$C$1000,C58,lost_found!$D$2:$D$1000,D58,lost_found!$I$2:$I$1000,"open")))</f>
        <v/>
      </c>
      <c r="H58" s="24" t="str">
        <f aca="false">IF(B58&lt;&gt;"lost","",IF(C58="","Needs item",IF(G58&gt;0,"Likely match",IF(F58&gt;0,"Possible (colour differs)","No match yet"))))</f>
        <v/>
      </c>
    </row>
    <row r="59" customFormat="false" ht="15" hidden="false" customHeight="false" outlineLevel="0" collapsed="false">
      <c r="A59" s="24" t="str">
        <f aca="false">IF(lost_found!A56="","",lost_found!A56)</f>
        <v/>
      </c>
      <c r="B59" s="24" t="str">
        <f aca="false">IF(lost_found!B56="","",lost_found!B56)</f>
        <v/>
      </c>
      <c r="C59" s="24" t="str">
        <f aca="false">IF(lost_found!C56="","",lost_found!C56)</f>
        <v/>
      </c>
      <c r="D59" s="24" t="str">
        <f aca="false">IF(lost_found!D56="","",lost_found!D56)</f>
        <v/>
      </c>
      <c r="E59" s="24" t="str">
        <f aca="false">IF(lost_found!I56="","",lost_found!I56)</f>
        <v/>
      </c>
      <c r="F59" s="24" t="str">
        <f aca="false">IF(OR(B59&lt;&gt;"lost",C59=""),"",COUNTIFS(lost_found!$B$2:$B$1000,"found",lost_found!$C$2:$C$1000,C59,lost_found!$I$2:$I$1000,"open"))</f>
        <v/>
      </c>
      <c r="G59" s="24" t="str">
        <f aca="false">IF(OR(B59&lt;&gt;"lost",C59=""),"",IF(D59="",F59,COUNTIFS(lost_found!$B$2:$B$1000,"found",lost_found!$C$2:$C$1000,C59,lost_found!$D$2:$D$1000,D59,lost_found!$I$2:$I$1000,"open")))</f>
        <v/>
      </c>
      <c r="H59" s="24" t="str">
        <f aca="false">IF(B59&lt;&gt;"lost","",IF(C59="","Needs item",IF(G59&gt;0,"Likely match",IF(F59&gt;0,"Possible (colour differs)","No match yet"))))</f>
        <v/>
      </c>
    </row>
    <row r="60" customFormat="false" ht="15" hidden="false" customHeight="false" outlineLevel="0" collapsed="false">
      <c r="A60" s="24" t="str">
        <f aca="false">IF(lost_found!A57="","",lost_found!A57)</f>
        <v/>
      </c>
      <c r="B60" s="24" t="str">
        <f aca="false">IF(lost_found!B57="","",lost_found!B57)</f>
        <v/>
      </c>
      <c r="C60" s="24" t="str">
        <f aca="false">IF(lost_found!C57="","",lost_found!C57)</f>
        <v/>
      </c>
      <c r="D60" s="24" t="str">
        <f aca="false">IF(lost_found!D57="","",lost_found!D57)</f>
        <v/>
      </c>
      <c r="E60" s="24" t="str">
        <f aca="false">IF(lost_found!I57="","",lost_found!I57)</f>
        <v/>
      </c>
      <c r="F60" s="24" t="str">
        <f aca="false">IF(OR(B60&lt;&gt;"lost",C60=""),"",COUNTIFS(lost_found!$B$2:$B$1000,"found",lost_found!$C$2:$C$1000,C60,lost_found!$I$2:$I$1000,"open"))</f>
        <v/>
      </c>
      <c r="G60" s="24" t="str">
        <f aca="false">IF(OR(B60&lt;&gt;"lost",C60=""),"",IF(D60="",F60,COUNTIFS(lost_found!$B$2:$B$1000,"found",lost_found!$C$2:$C$1000,C60,lost_found!$D$2:$D$1000,D60,lost_found!$I$2:$I$1000,"open")))</f>
        <v/>
      </c>
      <c r="H60" s="24" t="str">
        <f aca="false">IF(B60&lt;&gt;"lost","",IF(C60="","Needs item",IF(G60&gt;0,"Likely match",IF(F60&gt;0,"Possible (colour differs)","No match yet"))))</f>
        <v/>
      </c>
    </row>
    <row r="61" customFormat="false" ht="15" hidden="false" customHeight="false" outlineLevel="0" collapsed="false">
      <c r="A61" s="24" t="str">
        <f aca="false">IF(lost_found!A58="","",lost_found!A58)</f>
        <v/>
      </c>
      <c r="B61" s="24" t="str">
        <f aca="false">IF(lost_found!B58="","",lost_found!B58)</f>
        <v/>
      </c>
      <c r="C61" s="24" t="str">
        <f aca="false">IF(lost_found!C58="","",lost_found!C58)</f>
        <v/>
      </c>
      <c r="D61" s="24" t="str">
        <f aca="false">IF(lost_found!D58="","",lost_found!D58)</f>
        <v/>
      </c>
      <c r="E61" s="24" t="str">
        <f aca="false">IF(lost_found!I58="","",lost_found!I58)</f>
        <v/>
      </c>
      <c r="F61" s="24" t="str">
        <f aca="false">IF(OR(B61&lt;&gt;"lost",C61=""),"",COUNTIFS(lost_found!$B$2:$B$1000,"found",lost_found!$C$2:$C$1000,C61,lost_found!$I$2:$I$1000,"open"))</f>
        <v/>
      </c>
      <c r="G61" s="24" t="str">
        <f aca="false">IF(OR(B61&lt;&gt;"lost",C61=""),"",IF(D61="",F61,COUNTIFS(lost_found!$B$2:$B$1000,"found",lost_found!$C$2:$C$1000,C61,lost_found!$D$2:$D$1000,D61,lost_found!$I$2:$I$1000,"open")))</f>
        <v/>
      </c>
      <c r="H61" s="24" t="str">
        <f aca="false">IF(B61&lt;&gt;"lost","",IF(C61="","Needs item",IF(G61&gt;0,"Likely match",IF(F61&gt;0,"Possible (colour differs)","No match yet"))))</f>
        <v/>
      </c>
    </row>
    <row r="62" customFormat="false" ht="15" hidden="false" customHeight="false" outlineLevel="0" collapsed="false">
      <c r="A62" s="24" t="str">
        <f aca="false">IF(lost_found!A59="","",lost_found!A59)</f>
        <v/>
      </c>
      <c r="B62" s="24" t="str">
        <f aca="false">IF(lost_found!B59="","",lost_found!B59)</f>
        <v/>
      </c>
      <c r="C62" s="24" t="str">
        <f aca="false">IF(lost_found!C59="","",lost_found!C59)</f>
        <v/>
      </c>
      <c r="D62" s="24" t="str">
        <f aca="false">IF(lost_found!D59="","",lost_found!D59)</f>
        <v/>
      </c>
      <c r="E62" s="24" t="str">
        <f aca="false">IF(lost_found!I59="","",lost_found!I59)</f>
        <v/>
      </c>
      <c r="F62" s="24" t="str">
        <f aca="false">IF(OR(B62&lt;&gt;"lost",C62=""),"",COUNTIFS(lost_found!$B$2:$B$1000,"found",lost_found!$C$2:$C$1000,C62,lost_found!$I$2:$I$1000,"open"))</f>
        <v/>
      </c>
      <c r="G62" s="24" t="str">
        <f aca="false">IF(OR(B62&lt;&gt;"lost",C62=""),"",IF(D62="",F62,COUNTIFS(lost_found!$B$2:$B$1000,"found",lost_found!$C$2:$C$1000,C62,lost_found!$D$2:$D$1000,D62,lost_found!$I$2:$I$1000,"open")))</f>
        <v/>
      </c>
      <c r="H62" s="24" t="str">
        <f aca="false">IF(B62&lt;&gt;"lost","",IF(C62="","Needs item",IF(G62&gt;0,"Likely match",IF(F62&gt;0,"Possible (colour differs)","No match yet"))))</f>
        <v/>
      </c>
    </row>
    <row r="63" customFormat="false" ht="15" hidden="false" customHeight="false" outlineLevel="0" collapsed="false">
      <c r="A63" s="24" t="str">
        <f aca="false">IF(lost_found!A60="","",lost_found!A60)</f>
        <v/>
      </c>
      <c r="B63" s="24" t="str">
        <f aca="false">IF(lost_found!B60="","",lost_found!B60)</f>
        <v/>
      </c>
      <c r="C63" s="24" t="str">
        <f aca="false">IF(lost_found!C60="","",lost_found!C60)</f>
        <v/>
      </c>
      <c r="D63" s="24" t="str">
        <f aca="false">IF(lost_found!D60="","",lost_found!D60)</f>
        <v/>
      </c>
      <c r="E63" s="24" t="str">
        <f aca="false">IF(lost_found!I60="","",lost_found!I60)</f>
        <v/>
      </c>
      <c r="F63" s="24" t="str">
        <f aca="false">IF(OR(B63&lt;&gt;"lost",C63=""),"",COUNTIFS(lost_found!$B$2:$B$1000,"found",lost_found!$C$2:$C$1000,C63,lost_found!$I$2:$I$1000,"open"))</f>
        <v/>
      </c>
      <c r="G63" s="24" t="str">
        <f aca="false">IF(OR(B63&lt;&gt;"lost",C63=""),"",IF(D63="",F63,COUNTIFS(lost_found!$B$2:$B$1000,"found",lost_found!$C$2:$C$1000,C63,lost_found!$D$2:$D$1000,D63,lost_found!$I$2:$I$1000,"open")))</f>
        <v/>
      </c>
      <c r="H63" s="24" t="str">
        <f aca="false">IF(B63&lt;&gt;"lost","",IF(C63="","Needs item",IF(G63&gt;0,"Likely match",IF(F63&gt;0,"Possible (colour differs)","No match yet"))))</f>
        <v/>
      </c>
    </row>
    <row r="64" customFormat="false" ht="15" hidden="false" customHeight="false" outlineLevel="0" collapsed="false">
      <c r="A64" s="24" t="str">
        <f aca="false">IF(lost_found!A61="","",lost_found!A61)</f>
        <v/>
      </c>
      <c r="B64" s="24" t="str">
        <f aca="false">IF(lost_found!B61="","",lost_found!B61)</f>
        <v/>
      </c>
      <c r="C64" s="24" t="str">
        <f aca="false">IF(lost_found!C61="","",lost_found!C61)</f>
        <v/>
      </c>
      <c r="D64" s="24" t="str">
        <f aca="false">IF(lost_found!D61="","",lost_found!D61)</f>
        <v/>
      </c>
      <c r="E64" s="24" t="str">
        <f aca="false">IF(lost_found!I61="","",lost_found!I61)</f>
        <v/>
      </c>
      <c r="F64" s="24" t="str">
        <f aca="false">IF(OR(B64&lt;&gt;"lost",C64=""),"",COUNTIFS(lost_found!$B$2:$B$1000,"found",lost_found!$C$2:$C$1000,C64,lost_found!$I$2:$I$1000,"open"))</f>
        <v/>
      </c>
      <c r="G64" s="24" t="str">
        <f aca="false">IF(OR(B64&lt;&gt;"lost",C64=""),"",IF(D64="",F64,COUNTIFS(lost_found!$B$2:$B$1000,"found",lost_found!$C$2:$C$1000,C64,lost_found!$D$2:$D$1000,D64,lost_found!$I$2:$I$1000,"open")))</f>
        <v/>
      </c>
      <c r="H64" s="24" t="str">
        <f aca="false">IF(B64&lt;&gt;"lost","",IF(C64="","Needs item",IF(G64&gt;0,"Likely match",IF(F64&gt;0,"Possible (colour differs)","No match yet"))))</f>
        <v/>
      </c>
    </row>
  </sheetData>
  <conditionalFormatting sqref="H5:H64">
    <cfRule type="cellIs" priority="2" operator="equal" aboveAverage="0" equalAverage="0" bottom="0" percent="0" rank="0" text="" dxfId="14">
      <formula>"Likely match"</formula>
    </cfRule>
    <cfRule type="cellIs" priority="3" operator="equal" aboveAverage="0" equalAverage="0" bottom="0" percent="0" rank="0" text="" dxfId="13">
      <formula>"Possible (colour differs)"</formula>
    </cfRule>
    <cfRule type="cellIs" priority="4" operator="equal" aboveAverage="0" equalAverage="0" bottom="0" percent="0" rank="0" text="" dxfId="19">
      <formula>"No match yet"</formula>
    </cfRule>
  </conditionalFormatting>
  <conditionalFormatting sqref="E5:E64">
    <cfRule type="cellIs" priority="5" operator="equal" aboveAverage="0" equalAverage="0" bottom="0" percent="0" rank="0" text="" dxfId="11">
      <formula>"open"</formula>
    </cfRule>
    <cfRule type="cellIs" priority="6" operator="equal" aboveAverage="0" equalAverage="0" bottom="0" percent="0" rank="0" text="" dxfId="12">
      <formula>"matched"</formula>
    </cfRule>
    <cfRule type="cellIs" priority="7" operator="equal" aboveAverage="0" equalAverage="0" bottom="0" percent="0" rank="0" text="" dxfId="13">
      <formula>"claim_pending"</formula>
    </cfRule>
    <cfRule type="cellIs" priority="8" operator="equal" aboveAverage="0" equalAverage="0" bottom="0" percent="0" rank="0" text="" dxfId="14">
      <formula>"claimed"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tru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60"/>
  </cols>
  <sheetData>
    <row r="1" customFormat="false" ht="19.7" hidden="false" customHeight="false" outlineLevel="0" collapsed="false">
      <c r="A1" s="31" t="s">
        <v>677</v>
      </c>
    </row>
    <row r="2" customFormat="false" ht="43.5" hidden="false" customHeight="true" outlineLevel="0" collapsed="false">
      <c r="A2" s="42" t="s">
        <v>678</v>
      </c>
      <c r="B2" s="42"/>
      <c r="C2" s="42"/>
      <c r="D2" s="42"/>
      <c r="E2" s="42"/>
      <c r="F2" s="42"/>
      <c r="G2" s="42"/>
    </row>
    <row r="4" customFormat="false" ht="15" hidden="false" customHeight="false" outlineLevel="0" collapsed="false">
      <c r="A4" s="6" t="s">
        <v>679</v>
      </c>
      <c r="B4" s="6" t="s">
        <v>680</v>
      </c>
      <c r="C4" s="6" t="s">
        <v>681</v>
      </c>
      <c r="D4" s="6" t="s">
        <v>682</v>
      </c>
      <c r="E4" s="6" t="s">
        <v>683</v>
      </c>
      <c r="F4" s="6" t="s">
        <v>74</v>
      </c>
      <c r="G4" s="6" t="s">
        <v>131</v>
      </c>
    </row>
    <row r="5" customFormat="false" ht="15" hidden="false" customHeight="false" outlineLevel="0" collapsed="false">
      <c r="A5" s="8" t="s">
        <v>71</v>
      </c>
      <c r="B5" s="8" t="s">
        <v>684</v>
      </c>
      <c r="C5" s="8" t="s">
        <v>685</v>
      </c>
      <c r="D5" s="8" t="s">
        <v>42</v>
      </c>
      <c r="E5" s="8" t="s">
        <v>143</v>
      </c>
      <c r="F5" s="8" t="s">
        <v>686</v>
      </c>
      <c r="G5" s="8" t="s">
        <v>687</v>
      </c>
    </row>
    <row r="6" customFormat="false" ht="23.85" hidden="false" customHeight="false" outlineLevel="0" collapsed="false">
      <c r="A6" s="8"/>
      <c r="B6" s="8" t="s">
        <v>688</v>
      </c>
      <c r="C6" s="8" t="s">
        <v>689</v>
      </c>
      <c r="D6" s="8" t="s">
        <v>690</v>
      </c>
      <c r="E6" s="8" t="s">
        <v>691</v>
      </c>
      <c r="F6" s="8" t="s">
        <v>692</v>
      </c>
      <c r="G6" s="8" t="s">
        <v>693</v>
      </c>
    </row>
    <row r="7" customFormat="false" ht="23.85" hidden="false" customHeight="false" outlineLevel="0" collapsed="false">
      <c r="A7" s="8"/>
      <c r="B7" s="8" t="s">
        <v>694</v>
      </c>
      <c r="C7" s="8" t="s">
        <v>695</v>
      </c>
      <c r="D7" s="8" t="s">
        <v>42</v>
      </c>
      <c r="E7" s="8" t="s">
        <v>691</v>
      </c>
      <c r="F7" s="8" t="s">
        <v>692</v>
      </c>
      <c r="G7" s="8" t="s">
        <v>696</v>
      </c>
    </row>
    <row r="8" customFormat="false" ht="15" hidden="false" customHeight="false" outlineLevel="0" collapsed="false">
      <c r="A8" s="8"/>
      <c r="B8" s="8" t="s">
        <v>697</v>
      </c>
      <c r="C8" s="8" t="s">
        <v>698</v>
      </c>
      <c r="D8" s="8" t="s">
        <v>42</v>
      </c>
      <c r="E8" s="8" t="s">
        <v>699</v>
      </c>
      <c r="F8" s="8" t="s">
        <v>692</v>
      </c>
      <c r="G8" s="8" t="s">
        <v>700</v>
      </c>
    </row>
    <row r="9" customFormat="false" ht="15" hidden="false" customHeight="false" outlineLevel="0" collapsed="false">
      <c r="A9" s="8"/>
      <c r="B9" s="8" t="s">
        <v>701</v>
      </c>
      <c r="C9" s="8" t="s">
        <v>702</v>
      </c>
      <c r="D9" s="8" t="s">
        <v>42</v>
      </c>
      <c r="E9" s="8" t="s">
        <v>703</v>
      </c>
      <c r="F9" s="8" t="s">
        <v>692</v>
      </c>
      <c r="G9" s="8" t="s">
        <v>704</v>
      </c>
    </row>
    <row r="10" customFormat="false" ht="15" hidden="false" customHeight="false" outlineLevel="0" collapsed="false">
      <c r="A10" s="8"/>
      <c r="B10" s="8" t="s">
        <v>705</v>
      </c>
      <c r="C10" s="8" t="s">
        <v>706</v>
      </c>
      <c r="D10" s="8" t="s">
        <v>42</v>
      </c>
      <c r="E10" s="8" t="s">
        <v>703</v>
      </c>
      <c r="F10" s="8" t="s">
        <v>692</v>
      </c>
      <c r="G10" s="8" t="s">
        <v>707</v>
      </c>
    </row>
    <row r="11" customFormat="false" ht="15" hidden="false" customHeight="false" outlineLevel="0" collapsed="false">
      <c r="A11" s="8"/>
      <c r="B11" s="8" t="s">
        <v>708</v>
      </c>
      <c r="C11" s="8" t="s">
        <v>709</v>
      </c>
      <c r="D11" s="8" t="s">
        <v>42</v>
      </c>
      <c r="E11" s="8" t="s">
        <v>710</v>
      </c>
      <c r="F11" s="8" t="s">
        <v>692</v>
      </c>
      <c r="G11" s="8" t="s">
        <v>711</v>
      </c>
    </row>
  </sheetData>
  <mergeCells count="1">
    <mergeCell ref="A2:G2"/>
  </mergeCells>
  <conditionalFormatting sqref="F5:F200">
    <cfRule type="cellIs" priority="2" operator="equal" aboveAverage="0" equalAverage="0" bottom="0" percent="0" rank="0" text="" dxfId="11">
      <formula>"Proposed"</formula>
    </cfRule>
    <cfRule type="cellIs" priority="3" operator="equal" aboveAverage="0" equalAverage="0" bottom="0" percent="0" rank="0" text="" dxfId="14">
      <formula>"Done"</formula>
    </cfRule>
    <cfRule type="cellIs" priority="4" operator="equal" aboveAverage="0" equalAverage="0" bottom="0" percent="0" rank="0" text="" dxfId="12">
      <formula>"Approved"</formula>
    </cfRule>
    <cfRule type="cellIs" priority="5" operator="equal" aboveAverage="0" equalAverage="0" bottom="0" percent="0" rank="0" text="" dxfId="19">
      <formula>"Rejected"</formula>
    </cfRule>
  </conditionalFormatting>
  <dataValidations count="1">
    <dataValidation allowBlank="true" errorStyle="stop" operator="between" showDropDown="false" showErrorMessage="false" showInputMessage="false" sqref="F5:F200" type="list">
      <formula1>"Proposed,Approved,Done,Rejected"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2026-10-27T06:25:32Z</dcterms:created>
  <dc:creator>openpyxl</dc:creator>
  <dc:description/>
  <dc:language>en-US</dc:language>
  <cp:lastModifiedBy/>
  <dcterms:modified xsi:type="dcterms:W3CDTF">2026-10-27T06:25:35Z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